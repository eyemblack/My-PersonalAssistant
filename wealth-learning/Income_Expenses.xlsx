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" sheetId="1" r:id="rId5"/>
    <sheet state="visible" name="Monthly Dashboard" sheetId="2" r:id="rId6"/>
    <sheet state="visible" name="Credit Installment" sheetId="3" r:id="rId7"/>
    <sheet state="visible" name="Monthly Plan" sheetId="4" r:id="rId8"/>
    <sheet state="visible" name="Overall" sheetId="5" r:id="rId9"/>
    <sheet state="visible" name="Hold for pay" sheetId="6" r:id="rId10"/>
    <sheet state="visible" name="Contigency Reserve" sheetId="7" r:id="rId11"/>
    <sheet state="visible" name="Memo" sheetId="8" r:id="rId12"/>
    <sheet state="visible" name="Studentloan" sheetId="9" r:id="rId13"/>
    <sheet state="hidden" name="Categories Wide" sheetId="10" r:id="rId14"/>
    <sheet state="visible" name="Payment Method" sheetId="11" r:id="rId15"/>
    <sheet state="hidden" name="LongFormat" sheetId="12" r:id="rId16"/>
    <sheet state="hidden" name="Background-Data" sheetId="13" r:id="rId17"/>
  </sheets>
  <definedNames>
    <definedName name="CreditList">'Payment Method'!$A$2:$A$4</definedName>
    <definedName name="PaymentList">'Payment Method'!$A$2:$A$15</definedName>
    <definedName name="CategoryList">LongFormat!$A$2:$A$962</definedName>
    <definedName name="SubCategoryList">LongFormat!$B$2:$B$962</definedName>
    <definedName name="ShopList">'Categories Wide'!$O$2:$O$50</definedName>
  </definedNames>
  <calcPr/>
</workbook>
</file>

<file path=xl/sharedStrings.xml><?xml version="1.0" encoding="utf-8"?>
<sst xmlns="http://schemas.openxmlformats.org/spreadsheetml/2006/main" count="5129" uniqueCount="1077">
  <si>
    <t>Date</t>
  </si>
  <si>
    <t>Category</t>
  </si>
  <si>
    <t>Sub-Category</t>
  </si>
  <si>
    <t>Amount</t>
  </si>
  <si>
    <t>Pay Medthod</t>
  </si>
  <si>
    <t>Status</t>
  </si>
  <si>
    <t>Shop</t>
  </si>
  <si>
    <t>Note</t>
  </si>
  <si>
    <t>Year</t>
  </si>
  <si>
    <t>Month</t>
  </si>
  <si>
    <t>Investment</t>
  </si>
  <si>
    <t>US Stock</t>
  </si>
  <si>
    <t>Mobile Banking</t>
  </si>
  <si>
    <t>TH Fund</t>
  </si>
  <si>
    <t>SCBS&amp;P500E, SCBNSQ(E)</t>
  </si>
  <si>
    <t>Transportation</t>
  </si>
  <si>
    <t>Fuel</t>
  </si>
  <si>
    <t>TTB So Smart</t>
  </si>
  <si>
    <t>Credit Payment</t>
  </si>
  <si>
    <t>Bangchak</t>
  </si>
  <si>
    <t>Food &amp; Drink</t>
  </si>
  <si>
    <t>Others</t>
  </si>
  <si>
    <t>ข้าวยำ</t>
  </si>
  <si>
    <t>Monthly Pay</t>
  </si>
  <si>
    <t>Salary</t>
  </si>
  <si>
    <t>Main meals</t>
  </si>
  <si>
    <t>Mc Donald</t>
  </si>
  <si>
    <t>Items</t>
  </si>
  <si>
    <t>Household Items</t>
  </si>
  <si>
    <t>หลอดไฟ</t>
  </si>
  <si>
    <t>KFC</t>
  </si>
  <si>
    <t>Snacks</t>
  </si>
  <si>
    <t>Drinks</t>
  </si>
  <si>
    <t>Amazon</t>
  </si>
  <si>
    <t>ชาเขียว</t>
  </si>
  <si>
    <t>Groceries</t>
  </si>
  <si>
    <t>Lotus</t>
  </si>
  <si>
    <t>ผลไม้ ขนม</t>
  </si>
  <si>
    <t>เนื้อ ผัก</t>
  </si>
  <si>
    <t>Hobby</t>
  </si>
  <si>
    <t>Tree</t>
  </si>
  <si>
    <t>ต้นไม้หน้าคอม</t>
  </si>
  <si>
    <t>Service</t>
  </si>
  <si>
    <t>Subscription</t>
  </si>
  <si>
    <t>Subscribe K.Earthh Evans</t>
  </si>
  <si>
    <t>ผลไม้</t>
  </si>
  <si>
    <t>Haircut</t>
  </si>
  <si>
    <t>7-Eleven</t>
  </si>
  <si>
    <t>ขนม</t>
  </si>
  <si>
    <t>ลูกชิ้น</t>
  </si>
  <si>
    <t>ของกินกลางวัน</t>
  </si>
  <si>
    <t>KTC Bangchak</t>
  </si>
  <si>
    <t>น้ำมันกลับกาฬสินธุ์</t>
  </si>
  <si>
    <t>มาม่า</t>
  </si>
  <si>
    <t>หมูกระจก</t>
  </si>
  <si>
    <t>UOB One</t>
  </si>
  <si>
    <t>Family</t>
  </si>
  <si>
    <t>ซื้อของฝากตายายย่า -1,150</t>
  </si>
  <si>
    <t>Reimbursement</t>
  </si>
  <si>
    <t>แม่ + หมวยช่วยออก</t>
  </si>
  <si>
    <t>Lotus Deli</t>
  </si>
  <si>
    <t>น้ำมะพร้าว</t>
  </si>
  <si>
    <t>Residence</t>
  </si>
  <si>
    <t>Electricity Bill-A</t>
  </si>
  <si>
    <t>ไฟบ้าน</t>
  </si>
  <si>
    <t>Alcohol</t>
  </si>
  <si>
    <t>เบียร์สิง</t>
  </si>
  <si>
    <t>เลี้ยงข้าวตายายย่า -1770</t>
  </si>
  <si>
    <t>หมวยช่วยออก</t>
  </si>
  <si>
    <t>เบียร์</t>
  </si>
  <si>
    <t>ให้เงินตายายย่า</t>
  </si>
  <si>
    <t>กาแฟ ขนม</t>
  </si>
  <si>
    <t>ซื้อของให้ตายายย่า</t>
  </si>
  <si>
    <t>กลับ กทม</t>
  </si>
  <si>
    <t>ถั่ววาซา</t>
  </si>
  <si>
    <t>Toll Fee</t>
  </si>
  <si>
    <t>Subway</t>
  </si>
  <si>
    <t>Caltex</t>
  </si>
  <si>
    <t>เป๊ปซี่</t>
  </si>
  <si>
    <t>ดอกไม้ไหว้พระ</t>
  </si>
  <si>
    <t>ข้าวโพดอบชีส</t>
  </si>
  <si>
    <t>ของกิน</t>
  </si>
  <si>
    <t>Noodle</t>
  </si>
  <si>
    <t>Home Renovation</t>
  </si>
  <si>
    <t>Thai Watsadu</t>
  </si>
  <si>
    <t>ก๊อกน้ำ ตลับวัดความยาว</t>
  </si>
  <si>
    <t>Water Bill</t>
  </si>
  <si>
    <t>ไก่</t>
  </si>
  <si>
    <t>เบอร์เกอร์</t>
  </si>
  <si>
    <t>ข้าวเที่ยง</t>
  </si>
  <si>
    <t>ซี่โครงหมู, เนื้อวัว, ผัก, ผลไม้</t>
  </si>
  <si>
    <t>Cashback</t>
  </si>
  <si>
    <t>เก็บเข้าเงินฉุกเฉิน</t>
  </si>
  <si>
    <t>NF</t>
  </si>
  <si>
    <t>Home Internet</t>
  </si>
  <si>
    <t>จ่ายล่วงหน้า</t>
  </si>
  <si>
    <t>Mobile Internet</t>
  </si>
  <si>
    <t>เติม Port US</t>
  </si>
  <si>
    <t>เติม Port กองทุน เงินรอใน Kbank</t>
  </si>
  <si>
    <t>Contigency</t>
  </si>
  <si>
    <t>เก็บเงินฉุกเฉิน</t>
  </si>
  <si>
    <t>Debt</t>
  </si>
  <si>
    <t>Nissan Almera 2022</t>
  </si>
  <si>
    <t>Fine</t>
  </si>
  <si>
    <t>ค่าปรับความเร็ว 2 ใบ</t>
  </si>
  <si>
    <t>กรอ. kbank</t>
  </si>
  <si>
    <t>ข้าวหมูกรอบ</t>
  </si>
  <si>
    <t>ชุดน้ำทิ้ง, สายส่งน้ำ, ไฟวง</t>
  </si>
  <si>
    <t>ก๊อกน้ำซิงค์ล้างจาน, สายเดินน้ำ 2 เส้น</t>
  </si>
  <si>
    <t>เลี้ยงหมูกะทะบ้านอาด้วง -2540</t>
  </si>
  <si>
    <t>ซื้อใน 7-11 เอามาคิดแยกจากของกิน</t>
  </si>
  <si>
    <t>ซื้อของกินให้ไอข้าว</t>
  </si>
  <si>
    <t>Interest</t>
  </si>
  <si>
    <t>ดอกเบี้ย Kept</t>
  </si>
  <si>
    <t>Camping</t>
  </si>
  <si>
    <t>เบาะลมลองนอนในรถ</t>
  </si>
  <si>
    <t>Personal Items</t>
  </si>
  <si>
    <t>การ์ดหอม Little Trees</t>
  </si>
  <si>
    <t>จุกปิดซิงค์</t>
  </si>
  <si>
    <t>เต๋ว</t>
  </si>
  <si>
    <t>ข้าวไรเบอร์รี่</t>
  </si>
  <si>
    <t>เล้ง ปตท. ใกล้บ้าน</t>
  </si>
  <si>
    <t>ช็อคโกแลต</t>
  </si>
  <si>
    <t>น้ำยาปรับผ้านุ่ม</t>
  </si>
  <si>
    <t>Outfit</t>
  </si>
  <si>
    <t>boxser</t>
  </si>
  <si>
    <t>หมวยออกค่่าไฟ</t>
  </si>
  <si>
    <t>หมวยคืนค่า ทรศ.</t>
  </si>
  <si>
    <t xml:space="preserve"> </t>
  </si>
  <si>
    <t>กรอ. mbk</t>
  </si>
  <si>
    <t>ข้าวกลางคืน</t>
  </si>
  <si>
    <t>ค่าเงินลง เลยโยกเงินเก็บมาซื้อไว้</t>
  </si>
  <si>
    <t>ทุ่นลอยชักโครก, สายน้ำเดิน</t>
  </si>
  <si>
    <t>ขนมปังสังขยา</t>
  </si>
  <si>
    <t>ไส้กรอก</t>
  </si>
  <si>
    <t>ชุด flush ชักโครก, ยาแนว, สายเดินน้ำ</t>
  </si>
  <si>
    <t>เครื่องปั้มลมไฟฟ้า, Flysheet ไปแคมป์</t>
  </si>
  <si>
    <t>เลื่อยไฟฟ้าให้ตาตัดฟืน</t>
  </si>
  <si>
    <t>Supplement</t>
  </si>
  <si>
    <t>เวย์ Matell plant</t>
  </si>
  <si>
    <t>Electricity Bill-B</t>
  </si>
  <si>
    <t>ลำไย</t>
  </si>
  <si>
    <t>หารไอโดม 248</t>
  </si>
  <si>
    <t>บัตร KTC</t>
  </si>
  <si>
    <t>Maintenance</t>
  </si>
  <si>
    <t>ผ่อนยางรถ 1/10</t>
  </si>
  <si>
    <t>เติมปั้ม Caltex</t>
  </si>
  <si>
    <t>ปล่อยเช่ากล้อง DJI</t>
  </si>
  <si>
    <t>ข้าวโพด</t>
  </si>
  <si>
    <t xml:space="preserve">ย่างหมู 563/4 คน คิดคนละ 140 </t>
  </si>
  <si>
    <t>Cash</t>
  </si>
  <si>
    <t>ช็อกโกแลตไอมุก</t>
  </si>
  <si>
    <t>ค่าน้ำย่างหมู</t>
  </si>
  <si>
    <t>เบียร์บางบ่อ</t>
  </si>
  <si>
    <t>Skincare</t>
  </si>
  <si>
    <t>Eve'nBoy</t>
  </si>
  <si>
    <t>Watsons</t>
  </si>
  <si>
    <t>Wash&amp;Dry</t>
  </si>
  <si>
    <t>อบผ้า</t>
  </si>
  <si>
    <t>Travel</t>
  </si>
  <si>
    <t>amazon</t>
  </si>
  <si>
    <t>Accommodation</t>
  </si>
  <si>
    <t>ที่พัก</t>
  </si>
  <si>
    <t>คนอื่นหารค่าน้ำมันเที่ยว</t>
  </si>
  <si>
    <t>ค่าข้าวเย็น @แก่งกระจาน</t>
  </si>
  <si>
    <t>เครื่องดื่มก่อนนอน</t>
  </si>
  <si>
    <t>ค่าขนม, มิ๊กเซอร์</t>
  </si>
  <si>
    <t>ล่องแก่ง</t>
  </si>
  <si>
    <t>มัจฉะพันธุ์ไทย (ไม่อร่อย)</t>
  </si>
  <si>
    <t>Souvenirs</t>
  </si>
  <si>
    <t>ของฝากเพขรบุรี</t>
  </si>
  <si>
    <t>กล้วยทอดอะไรไม่รู้มัน</t>
  </si>
  <si>
    <t>Health</t>
  </si>
  <si>
    <t>Sick</t>
  </si>
  <si>
    <t>ยาแก้ไอ, ลดเสมหะ, ลดไข้</t>
  </si>
  <si>
    <t>สลัดโรล</t>
  </si>
  <si>
    <t>สับปะรด</t>
  </si>
  <si>
    <t>Hainanese chicken rice</t>
  </si>
  <si>
    <t>ข้าวมันไก่</t>
  </si>
  <si>
    <t>Lotto</t>
  </si>
  <si>
    <t>ซื้อหวยเพราะไปเที่ยว</t>
  </si>
  <si>
    <t>Webtoon</t>
  </si>
  <si>
    <t>ซื้อเหรียญ</t>
  </si>
  <si>
    <t>เคส IP13</t>
  </si>
  <si>
    <t>ก๋วยเตี๋ยวหลอด</t>
  </si>
  <si>
    <t>ซับ ChatGPT</t>
  </si>
  <si>
    <t>คนอื่นหาร ChatGPT</t>
  </si>
  <si>
    <t>เต๋วเรือ</t>
  </si>
  <si>
    <t>ต้นไม้</t>
  </si>
  <si>
    <t>ขนุน, กล้วย</t>
  </si>
  <si>
    <t>เตี๋ยวปากหม้อ</t>
  </si>
  <si>
    <t>น้ำผลไม้ปั่น</t>
  </si>
  <si>
    <t>หมูเต๊ะ</t>
  </si>
  <si>
    <t>ข้าวหน้าหมูเกลือ, ของกินลองท้องตอนเที่ยง</t>
  </si>
  <si>
    <t>ส้มตำ ต้มแซ่บ</t>
  </si>
  <si>
    <t>YT Premium</t>
  </si>
  <si>
    <t>ปีกไก่</t>
  </si>
  <si>
    <t>ทรอสพรีเมี่ยม น้ำหอม</t>
  </si>
  <si>
    <t>pepsi</t>
  </si>
  <si>
    <t>กล่องใส่เอกสาร @Index living mall</t>
  </si>
  <si>
    <t>ไก่แซ่บ, สลัดทูน่า</t>
  </si>
  <si>
    <t>เป๊ปซี่ น้ำแข็ง</t>
  </si>
  <si>
    <t>เครปเค้ก</t>
  </si>
  <si>
    <t>ข้าวซอย</t>
  </si>
  <si>
    <t xml:space="preserve">Pad Kapow </t>
  </si>
  <si>
    <t>กะเพราขาหมู</t>
  </si>
  <si>
    <t>ไก่ kfc</t>
  </si>
  <si>
    <t>ตัดผม</t>
  </si>
  <si>
    <t>กะเพราหมูกรอบ</t>
  </si>
  <si>
    <t>บะหมี่เกี๊ยวน้ำ</t>
  </si>
  <si>
    <t>เงินเดือน พฤษภาคม, 2025</t>
  </si>
  <si>
    <t>ค่าเน็ตบ้าน</t>
  </si>
  <si>
    <t>ค่่าเน็ตมือถือ</t>
  </si>
  <si>
    <t>อัตราส่วนที่ซื้อ ndq, s&amp;p500 -&gt; 600, 400</t>
  </si>
  <si>
    <t>ค่ารถงวด 35</t>
  </si>
  <si>
    <t>เอาเงินออกไปเติมพอร์ต US ก่อนเพราะค่าเงินลง</t>
  </si>
  <si>
    <t>ฝากคืนเดือน june</t>
  </si>
  <si>
    <t>เงินคืน ttb</t>
  </si>
  <si>
    <t>เช่ากล้อง ​DJI</t>
  </si>
  <si>
    <t>โดมฝากผ่อนรองเท้า</t>
  </si>
  <si>
    <t>ก๋วยจั๊บ</t>
  </si>
  <si>
    <t>หมวยซื้อยำ, ผัดไท</t>
  </si>
  <si>
    <t>สลัดอกไก่</t>
  </si>
  <si>
    <t>ลูกชื้น</t>
  </si>
  <si>
    <t>เช็คระยะครั้งที่ 8 (ไมล์ 54,312)</t>
  </si>
  <si>
    <t>เกาเหลา</t>
  </si>
  <si>
    <t>สปาเก็ตตี้</t>
  </si>
  <si>
    <t>วิ้งแซ่บ</t>
  </si>
  <si>
    <t>ยาสระผมแม่</t>
  </si>
  <si>
    <t>Pizza</t>
  </si>
  <si>
    <t>ดอกเบี้ยน kept</t>
  </si>
  <si>
    <t>น้ำผึ้ง</t>
  </si>
  <si>
    <t>ผ้าเช็ดตัว</t>
  </si>
  <si>
    <t>ของกินตลาด</t>
  </si>
  <si>
    <t>แมลง ไข่ ปลาหมึก</t>
  </si>
  <si>
    <t>มาม่า, ถั่ว, กล้วยไข่</t>
  </si>
  <si>
    <t>ค่ากางเต็นท์</t>
  </si>
  <si>
    <t>ขนม ไฟแช็ค</t>
  </si>
  <si>
    <t>เติมน้ำมันเที่ยวระยอง</t>
  </si>
  <si>
    <t>รอเก็บกับเบ๊น 340 (จ่ายแล้ว)</t>
  </si>
  <si>
    <t>ของกินขับรถไปเที่ยวระยอง</t>
  </si>
  <si>
    <t>ถ่านรีโมทรถ Nissan</t>
  </si>
  <si>
    <t>เบียร์ เรือบิน เพื่อนห้อง 8</t>
  </si>
  <si>
    <t>spy กินกับหมูกะทะแคมป์</t>
  </si>
  <si>
    <t>เป๊ปซี่ + ขนม</t>
  </si>
  <si>
    <t>โค้กน้ำแข็ง</t>
  </si>
  <si>
    <t>สละ, มังคุด, กะท้อน, เงาะ (ของฝากระยอง)</t>
  </si>
  <si>
    <t>ทุเรียน, สัปรส (ของฝากระยอง)</t>
  </si>
  <si>
    <t>หมวกกันแดด</t>
  </si>
  <si>
    <t>Fee</t>
  </si>
  <si>
    <t>ค่าพายเรือสวนพฤกษศาสตร์ระยอง</t>
  </si>
  <si>
    <t>อเมริกาโน่ส้ม</t>
  </si>
  <si>
    <t>ซาลาเปา หนมจีบ</t>
  </si>
  <si>
    <t>ค่่าทางด่วน</t>
  </si>
  <si>
    <t>แซนวิช สลัดโรล เป๊ปซี่</t>
  </si>
  <si>
    <t>ข้าวเย็น</t>
  </si>
  <si>
    <t>หมูทอด ไม่ซื้อละรสชาติเฉยๆ แถวไม่มีโอนอีก :(</t>
  </si>
  <si>
    <t>พิซซ่า วงรี ไม่อร่อย เลิก</t>
  </si>
  <si>
    <t>หมวยออกค่าไฟ</t>
  </si>
  <si>
    <t>Bonchon</t>
  </si>
  <si>
    <t>ไก่ bonchon</t>
  </si>
  <si>
    <t>เลย์</t>
  </si>
  <si>
    <t>โค้ก</t>
  </si>
  <si>
    <t>ต้มแซ่บ</t>
  </si>
  <si>
    <t>กันกระชาก + ที่แขวนไฟ</t>
  </si>
  <si>
    <t>ปลั๊กไฟ</t>
  </si>
  <si>
    <t>ไม้ถูพื้นบ้าน</t>
  </si>
  <si>
    <t>ครีมทาผิว</t>
  </si>
  <si>
    <t>สายชาร์จ</t>
  </si>
  <si>
    <t>กัันแสงในรถยนต์, จุกศูนยากาศ, แถบเรืองแสง</t>
  </si>
  <si>
    <t>อกไก่ ผัก</t>
  </si>
  <si>
    <t>น้ำผึ้งโซดา</t>
  </si>
  <si>
    <t>Insurance</t>
  </si>
  <si>
    <t>Car Insurance</t>
  </si>
  <si>
    <t>ต่อประกันรถกับ Rabit ใช้วิริยะ(ใช้โค้ดลดแล้ว แต่แอบแพง)</t>
  </si>
  <si>
    <t>วัตถุดิบทำกะเพรา แต่อาจจะขาวผัด</t>
  </si>
  <si>
    <t>เมจิช็อคโกแลต</t>
  </si>
  <si>
    <t>ส้มสายน้ำผึ้ง, แตงโม</t>
  </si>
  <si>
    <t>ผัก</t>
  </si>
  <si>
    <t>ก๋วยเตี๋ยว</t>
  </si>
  <si>
    <t>เติมน้ำมัน</t>
  </si>
  <si>
    <t>Auto 1</t>
  </si>
  <si>
    <t>ผ่อนยางรถ 2/10</t>
  </si>
  <si>
    <t>pizza hut ไม่อร่อย</t>
  </si>
  <si>
    <t>ขนมจีบซาลาเปา</t>
  </si>
  <si>
    <t>นั่งรถกลับจากเครมรถ</t>
  </si>
  <si>
    <t>หม่าล่า</t>
  </si>
  <si>
    <t>เริ่มสมัคร YT Premium แบบ Family</t>
  </si>
  <si>
    <t>คนอื่นหาร YT Premium</t>
  </si>
  <si>
    <t>กระเป๋าเดินป่า</t>
  </si>
  <si>
    <t>โค้ก, น้ำแข็ง</t>
  </si>
  <si>
    <t>เลย์, ผักขม, เยลลี่</t>
  </si>
  <si>
    <t>ไฟ ตจว.</t>
  </si>
  <si>
    <t>เรียก Grab ให้เพื่อนแม่</t>
  </si>
  <si>
    <t>ค่าเสียหายส่วนแรกในการเครม</t>
  </si>
  <si>
    <t>ส้มตำ, น้ำตก, ไข่ทรงเครื่อง</t>
  </si>
  <si>
    <t>แม่จ่ายภาษี</t>
  </si>
  <si>
    <t>กระเทียม 75 ได้ส่วนลด 40 บาท</t>
  </si>
  <si>
    <t>โค้้ก1.5ลิตร 2 ขวด</t>
  </si>
  <si>
    <t>นมอัดเม็ด</t>
  </si>
  <si>
    <t>ส้้ม แต่เขาให้มา 2 (งง)</t>
  </si>
  <si>
    <t>line taxi ไปเอารถที่ศูนย์</t>
  </si>
  <si>
    <t>หนมจีบซาลาเปา</t>
  </si>
  <si>
    <t>ค่ารถกลับจากกินเบียร์</t>
  </si>
  <si>
    <t>ชาไทย CJ</t>
  </si>
  <si>
    <t>Dine-out</t>
  </si>
  <si>
    <t>Lucky Suki</t>
  </si>
  <si>
    <t>เลี้ยงน้องหมวย</t>
  </si>
  <si>
    <t xml:space="preserve">ไก่ </t>
  </si>
  <si>
    <t>Ikea</t>
  </si>
  <si>
    <r>
      <rPr>
        <rFont val="Consolas"/>
        <color rgb="FFFF0000"/>
        <sz val="12.0"/>
      </rPr>
      <t>ยอดรวม 350.25</t>
    </r>
    <r>
      <rPr>
        <rFont val="Consolas"/>
        <color theme="1"/>
        <sz val="12.0"/>
      </rPr>
      <t>, ซอสหม่าล่า, เนื้อแดง, ผักคอส, ข้าวโพด</t>
    </r>
  </si>
  <si>
    <t>มาม่า, ขาไก่, โรลเลอร์ขนม, แหนมสไลซ์</t>
  </si>
  <si>
    <t>ถุงขยะ</t>
  </si>
  <si>
    <t>โฟมล้างหน้า, cleansing, กันแดด verite</t>
  </si>
  <si>
    <r>
      <rPr>
        <rFont val="Consolas"/>
        <color rgb="FFFF0000"/>
        <sz val="12.0"/>
      </rPr>
      <t>ยอดรวม 242</t>
    </r>
    <r>
      <rPr>
        <rFont val="Consolas"/>
        <color theme="1"/>
        <sz val="12.0"/>
      </rPr>
      <t>, ผัก, เบรคกิ้งโซดา</t>
    </r>
  </si>
  <si>
    <t>นั่ง lineman ไปดริ้งบางบ่</t>
  </si>
  <si>
    <t>นั่ง grab กลับจากดริ้ง</t>
  </si>
  <si>
    <t>เบียร์บางบ่</t>
  </si>
  <si>
    <t>เบียร์์ชงเจริญ</t>
  </si>
  <si>
    <t>ของรองท้อง</t>
  </si>
  <si>
    <t>ค่าน้ำ</t>
  </si>
  <si>
    <t>ค่่าไฟกาฬสินธุ์</t>
  </si>
  <si>
    <t>เงินคืนบัตร TTB</t>
  </si>
  <si>
    <r>
      <rPr>
        <rFont val="Consolas"/>
        <color rgb="FFFF0000"/>
        <sz val="12.0"/>
      </rPr>
      <t>ยอดรวม 47</t>
    </r>
    <r>
      <rPr>
        <rFont val="Consolas"/>
        <color theme="1"/>
        <sz val="12.0"/>
      </rPr>
      <t>, น้ำแข็ง, น้ำลำไย</t>
    </r>
  </si>
  <si>
    <t>ดอกเบี้ย kept</t>
  </si>
  <si>
    <t>ดอกเบี้ย kbank</t>
  </si>
  <si>
    <t>ค่ารถงวด 36</t>
  </si>
  <si>
    <t>CJ</t>
  </si>
  <si>
    <t>ชาไทย</t>
  </si>
  <si>
    <t>ลาบ, ปังเย็น ขนม</t>
  </si>
  <si>
    <t>ดอกเบี้ย ธ.บัวหลวง</t>
  </si>
  <si>
    <t>ดอกเบี้ี้ย mbk</t>
  </si>
  <si>
    <t>เต๋วไก่</t>
  </si>
  <si>
    <t>ไก่ KFC</t>
  </si>
  <si>
    <t>Credit Spending</t>
  </si>
  <si>
    <r>
      <rPr>
        <rFont val="Consolas"/>
        <color rgb="FFFF0000"/>
        <sz val="12.0"/>
      </rPr>
      <t xml:space="preserve">ยอดรวมกันแชมพู 1833.67
</t>
    </r>
    <r>
      <rPr>
        <rFont val="Consolas"/>
        <color theme="1"/>
        <sz val="12.0"/>
      </rPr>
      <t>(Naturehike ทั้งหมด) 
แผ่นรองนอน กระเป๋าเล็ก, โคมไฟเล็ก,
หมอนเป่าลม, กระเป๋าสะพายข้าง</t>
    </r>
  </si>
  <si>
    <t>Vehicle</t>
  </si>
  <si>
    <t>แชมพูล้างรถ</t>
  </si>
  <si>
    <t>แผ่นเตาอบรมร้อน</t>
  </si>
  <si>
    <t>เครื่องจั็มแบตรถ 70mai jump starter</t>
  </si>
  <si>
    <t>Ground sheet</t>
  </si>
  <si>
    <t>เทปซีลขอบประตู</t>
  </si>
  <si>
    <t>ชานมไข่มุก</t>
  </si>
  <si>
    <r>
      <rPr>
        <rFont val="Consolas"/>
        <color rgb="FFFF0000"/>
        <sz val="12.0"/>
      </rPr>
      <t>ยอดรวม Lotus 193.75</t>
    </r>
    <r>
      <rPr>
        <rFont val="Consolas"/>
        <color theme="1"/>
        <sz val="12.0"/>
      </rPr>
      <t xml:space="preserve">
วัตถุดิบทำชาบู</t>
    </r>
  </si>
  <si>
    <t>Decathlon</t>
  </si>
  <si>
    <t>เสื้อผ้าเดินป่า</t>
  </si>
  <si>
    <t>นม, chocolate</t>
  </si>
  <si>
    <r>
      <rPr>
        <rFont val="Consolas"/>
        <color rgb="FFFF0000"/>
        <sz val="12.0"/>
      </rPr>
      <t>ยอดรวม Lotus 181</t>
    </r>
    <r>
      <rPr>
        <rFont val="Consolas"/>
        <color theme="1"/>
        <sz val="12.0"/>
      </rPr>
      <t xml:space="preserve">
กรรไร, ผักน้ำจิ้ม</t>
    </r>
  </si>
  <si>
    <t>ต่อภาษีรถยนต์</t>
  </si>
  <si>
    <t>หมวยออกค่าไฟ, ค่าของเข้าบ้าน</t>
  </si>
  <si>
    <t>ดอกเบี้ยกรุงเทพ, กรุงไทย</t>
  </si>
  <si>
    <t>ดอกเบี้ยDime บัญชีไทย และ FCD 
อัตราแลกเปลี่ยนตอนคิด 32.55฿/1$</t>
  </si>
  <si>
    <t>หมี่เกี๊ยว</t>
  </si>
  <si>
    <r>
      <rPr>
        <rFont val="Consolas"/>
        <color rgb="FFFF0000"/>
        <sz val="12.0"/>
      </rPr>
      <t>ยอดรวม 286</t>
    </r>
    <r>
      <rPr>
        <rFont val="Consolas"/>
        <color theme="1"/>
        <sz val="12.0"/>
      </rPr>
      <t xml:space="preserve"> pepsi</t>
    </r>
  </si>
  <si>
    <t>กรีกโยเกิช</t>
  </si>
  <si>
    <t>ถ่าน Panasonic AAA</t>
  </si>
  <si>
    <t>National Park</t>
  </si>
  <si>
    <t>ค่าบริการ อช. รามคำแหง (ต้องจองใหม่เพราะเลื่อนวันขึ้น)</t>
  </si>
  <si>
    <t>ซาลาเปา</t>
  </si>
  <si>
    <t>เตี๋ยวไก่</t>
  </si>
  <si>
    <t>Hachiban</t>
  </si>
  <si>
    <r>
      <rPr>
        <rFont val="Consolas"/>
        <color rgb="FFFF0000"/>
        <sz val="12.0"/>
      </rPr>
      <t>ยอดรวม 507</t>
    </r>
    <r>
      <rPr>
        <rFont val="Consolas"/>
        <color theme="1"/>
        <sz val="12.0"/>
      </rPr>
      <t xml:space="preserve"> กับที่บ้าน</t>
    </r>
  </si>
  <si>
    <t>ไฟฉายคาดหัว</t>
  </si>
  <si>
    <t>หิวดึก</t>
  </si>
  <si>
    <t>ข้าวมันไก่ต้ม-กรอบ</t>
  </si>
  <si>
    <t>ลองราเมง @ปตต เลยกลับรถสนามบิน</t>
  </si>
  <si>
    <t>หมวยออกค่าราเมง</t>
  </si>
  <si>
    <t>ลูกชิ้น, ขนมปังสังขยา</t>
  </si>
  <si>
    <t>น้ำเปล่า, โกโก้ปั่น</t>
  </si>
  <si>
    <t>ลูกบอลซักผ้า</t>
  </si>
  <si>
    <t>เงินคืนใช้แต้มแลก KTC</t>
  </si>
  <si>
    <t>ผ่อนยางรถ 3/10</t>
  </si>
  <si>
    <t>กล้วยอบ</t>
  </si>
  <si>
    <t>แคปหมู</t>
  </si>
  <si>
    <t>ข้าวเหนียวหมูปิ้ง</t>
  </si>
  <si>
    <t>น้ำมันไปเดินเขา</t>
  </si>
  <si>
    <t>เต๋วไก่อร่อย พิษณุโลก</t>
  </si>
  <si>
    <t>ที่พักก่อนขึ้นเขาหลวง (หาร)</t>
  </si>
  <si>
    <t>คนอื่นหารค่าห้อง</t>
  </si>
  <si>
    <t>ชาเย็น</t>
  </si>
  <si>
    <t>ของกินไปพิโลก</t>
  </si>
  <si>
    <t>ชานม</t>
  </si>
  <si>
    <t>MFlow</t>
  </si>
  <si>
    <t>กะเพรา</t>
  </si>
  <si>
    <t>ขนมหวาน</t>
  </si>
  <si>
    <r>
      <rPr>
        <rFont val="Consolas"/>
        <color rgb="FFFF0000"/>
        <sz val="12.0"/>
      </rPr>
      <t>ยอดรวม 530</t>
    </r>
    <r>
      <rPr>
        <rFont val="Consolas"/>
        <color theme="1"/>
        <sz val="12.0"/>
      </rPr>
      <t xml:space="preserve">
อาหารไว้กินเขาหลวง</t>
    </r>
  </si>
  <si>
    <t>รองเท้าแตะ</t>
  </si>
  <si>
    <t>หารค่าของขึ้นเขาหลวง</t>
  </si>
  <si>
    <t>อาหารหลังลงจากเขา</t>
  </si>
  <si>
    <t>ค่าเข้าและค่าบริการ อช. เขาหลวงสุโขทัย</t>
  </si>
  <si>
    <t>ที่พััก</t>
  </si>
  <si>
    <t>หารที่พัก</t>
  </si>
  <si>
    <t>ต้มเลือดหมู</t>
  </si>
  <si>
    <t>คาเฟ่นั่งชิล</t>
  </si>
  <si>
    <t>หมูปิ้ง(เลี้ยง)ก่อนขึ้นเขา</t>
  </si>
  <si>
    <t>กินก่อนขึ้นเขา</t>
  </si>
  <si>
    <t>สมยศ</t>
  </si>
  <si>
    <t>เบียร์แถวมอนอ</t>
  </si>
  <si>
    <t>ผลไม้สมยศ</t>
  </si>
  <si>
    <t>Match + ชูโรส</t>
  </si>
  <si>
    <t>td</t>
  </si>
  <si>
    <t>ซักผ้าพิดโลก</t>
  </si>
  <si>
    <t>ขนมยัยหนมหวาน + หม่าล่า</t>
  </si>
  <si>
    <t>นวดคอ บ่า ไหล</t>
  </si>
  <si>
    <t>เตี๋ยวกะลามอนอ</t>
  </si>
  <si>
    <t>ชาเขียว น้ำเปล่า ถั่ว</t>
  </si>
  <si>
    <t>หมูกะทะป๊ะปุ๊</t>
  </si>
  <si>
    <t>ร้านเบียร์กะชิล</t>
  </si>
  <si>
    <t>ไอโดมไปจอง</t>
  </si>
  <si>
    <t>เตี๋ยวห้อยขา ม่วง</t>
  </si>
  <si>
    <t>ข้าวมันไก่สามเซียนประตู 5 มอนอ</t>
  </si>
  <si>
    <t>บิงซู</t>
  </si>
  <si>
    <t>ห้องพักนครสวรรค์</t>
  </si>
  <si>
    <t>กะเพราหมูกรอบไข่ดาว</t>
  </si>
  <si>
    <t>ของฝาก ไม่น่าซื้อที่สิงบุรี</t>
  </si>
  <si>
    <t>Mflow</t>
  </si>
  <si>
    <t>ลูกชื้น, ไก่อบ</t>
  </si>
  <si>
    <t>คนอื่นหาร YT</t>
  </si>
  <si>
    <t>ถั่วลิสงเคลือบ</t>
  </si>
  <si>
    <t>มีดโกน, แป้งเด็</t>
  </si>
  <si>
    <t>น้ำสิงห์</t>
  </si>
  <si>
    <t>Pepsi</t>
  </si>
  <si>
    <t>ของกินตลาดนัด</t>
  </si>
  <si>
    <t>เป๊ปซี่ นมเปรี๊ยว</t>
  </si>
  <si>
    <t>ชานม Mixue</t>
  </si>
  <si>
    <t>เต๋วพระนครกับหมวย</t>
  </si>
  <si>
    <r>
      <rPr>
        <rFont val="Consolas"/>
        <color rgb="FFFF0000"/>
        <sz val="12.0"/>
      </rPr>
      <t xml:space="preserve">ยอดรวม 658.25
</t>
    </r>
    <r>
      <rPr>
        <rFont val="Consolas"/>
        <color theme="1"/>
        <sz val="12.0"/>
      </rPr>
      <t>ผัก, เนื้อหมู, ปีกไก่กลาง, ผลไม้</t>
    </r>
  </si>
  <si>
    <t>ผักตลาด</t>
  </si>
  <si>
    <t>pepsi, น้ำแข็ง, กิมจิ, โยเกิช</t>
  </si>
  <si>
    <t>น้ำยาล้างห้องน้ำ Vixal</t>
  </si>
  <si>
    <t>ปรับเงินเดือน 1,239.5 แต่เดือนนี้ได้ทบจากเดือนที่แล้ว 1,239.5</t>
  </si>
  <si>
    <t>Nissan Almera Debt</t>
  </si>
  <si>
    <t>ค่ารถงวด 37</t>
  </si>
  <si>
    <t>Studentloan Debt</t>
  </si>
  <si>
    <t>กรอ</t>
  </si>
  <si>
    <t>ไฟบ้าน ตจว.</t>
  </si>
  <si>
    <t>ซื้อแค่ scbndq เพราะมัน overlap</t>
  </si>
  <si>
    <t>amazfit active 2 (3,222), ชุดกันหนวด</t>
  </si>
  <si>
    <t>หมูกะทะ + ไอติม</t>
  </si>
  <si>
    <t>ทางด่วนไป-กลับ รังสิต</t>
  </si>
  <si>
    <t>รวมทุกอย่าง</t>
  </si>
  <si>
    <t>ไส้กรอก, ลูกอม, ต้มเลือดหมู, มัจฉะ</t>
  </si>
  <si>
    <t>ทางด่วนตอนกลับ</t>
  </si>
  <si>
    <t>Swensen's</t>
  </si>
  <si>
    <t>cleansing 4 ขวด, ยาสระผม, โฟมล้างหน้า</t>
  </si>
  <si>
    <t>น้ำเกลือ, ไซริงค์</t>
  </si>
  <si>
    <r>
      <rPr>
        <rFont val="Consolas"/>
        <color rgb="FFFF0000"/>
        <sz val="12.0"/>
      </rPr>
      <t>ยอดรวม 460</t>
    </r>
    <r>
      <rPr>
        <rFont val="Consolas"/>
        <color theme="1"/>
        <sz val="12.0"/>
      </rPr>
      <t xml:space="preserve">
มะเขือเทศ</t>
    </r>
  </si>
  <si>
    <t>ข้าวโอ๊ต, โอ๊ตบาร์</t>
  </si>
  <si>
    <t>ฟองน้ำ, ผ้าฟองน้ำ, เป็ดสติกลาเวนเดอร, ยาสีฟัน</t>
  </si>
  <si>
    <t>หนมจีบ ซาลาเปา</t>
  </si>
  <si>
    <t>ข้าวซอย น้ำส้ม</t>
  </si>
  <si>
    <t>ดินน้ำมัน</t>
  </si>
  <si>
    <t>ข้าวกะเพรา ขนมปัง</t>
  </si>
  <si>
    <t>สมัคร GG one รายปี ผ่อน 0% 3 เดือน</t>
  </si>
  <si>
    <t>ชาเขียว ถั่ว</t>
  </si>
  <si>
    <t>ค่าเข้า อท.</t>
  </si>
  <si>
    <t>ค่าเช้า อท.</t>
  </si>
  <si>
    <t>คเฟ่พ่อลูกอ่อน</t>
  </si>
  <si>
    <t>ต้มแซ่บ, pepsi</t>
  </si>
  <si>
    <t>ครีมทาผิวกันแดด</t>
  </si>
  <si>
    <t>ยำ</t>
  </si>
  <si>
    <r>
      <rPr>
        <rFont val="Consolas"/>
        <color rgb="FFFF0000"/>
        <sz val="12.0"/>
      </rPr>
      <t xml:space="preserve">ยอดรวม 1,216
</t>
    </r>
    <r>
      <rPr>
        <rFont val="Consolas"/>
        <color theme="1"/>
        <sz val="12.0"/>
      </rPr>
      <t>ขาหนีบ action camera, ขาตั้งถ่าย content, สายนาฬิกา amazfit</t>
    </r>
  </si>
  <si>
    <t>น้ำกลั่น</t>
  </si>
  <si>
    <t>เวย์ Matell Chocolate</t>
  </si>
  <si>
    <t>เขียง stainless</t>
  </si>
  <si>
    <t>ไซรัป coca-cola</t>
  </si>
  <si>
    <t>PorkSteak</t>
  </si>
  <si>
    <t>ขนมจีบ</t>
  </si>
  <si>
    <t>สปาเก็ตตี้ pepsi, soda</t>
  </si>
  <si>
    <t>ขนมปัง</t>
  </si>
  <si>
    <t>ผัก ผงปรุงรส</t>
  </si>
  <si>
    <t>Tax</t>
  </si>
  <si>
    <t>จ่ายภาษีย้อนหลัง 2566, 2567 ใช้ประกันแม่ลดหย่อนไม่ได้</t>
  </si>
  <si>
    <t>ผ่อนยางรถ 4/10</t>
  </si>
  <si>
    <t>ค่าน้ำมันกลับ ตจว.</t>
  </si>
  <si>
    <t>ชาเขียว, สตบร ชีสเค้ก</t>
  </si>
  <si>
    <t>แจ่วฮอนอาน้อย</t>
  </si>
  <si>
    <t>Big-C</t>
  </si>
  <si>
    <t>ซื้อของให้คนเฒ่า 1,600</t>
  </si>
  <si>
    <t>ซื้อของให้พี่ขิต และน้องๆ</t>
  </si>
  <si>
    <t>August 2025</t>
  </si>
  <si>
    <t>มัจฉะพรีเมี่ยม, น้ำเปล่า, ถั่ว</t>
  </si>
  <si>
    <t>Coco</t>
  </si>
  <si>
    <t>ฟิล์ม Focus</t>
  </si>
  <si>
    <t>ผัก, ผลไม้</t>
  </si>
  <si>
    <r>
      <rPr>
        <rFont val="Consolas"/>
        <color rgb="FFFF0000"/>
        <sz val="12.0"/>
      </rPr>
      <t>รวม 358.25</t>
    </r>
    <r>
      <rPr>
        <rFont val="Consolas"/>
        <color theme="1"/>
        <sz val="12.0"/>
      </rPr>
      <t xml:space="preserve">
หมู, ผัก</t>
    </r>
  </si>
  <si>
    <r>
      <rPr>
        <rFont val="Consolas"/>
        <color rgb="FFFF0000"/>
        <sz val="12.0"/>
      </rPr>
      <t xml:space="preserve">รวม 169 </t>
    </r>
    <r>
      <rPr>
        <rFont val="Consolas"/>
        <color theme="1"/>
        <sz val="12.0"/>
      </rPr>
      <t>ผลไม้</t>
    </r>
  </si>
  <si>
    <t>รามยอน, ขนม</t>
  </si>
  <si>
    <t>เต๋๋ว</t>
  </si>
  <si>
    <t xml:space="preserve">ผักมาดอง, </t>
  </si>
  <si>
    <t>โซดามาดองผัก, น้ำส่มสายชู, อื่นๆ</t>
  </si>
  <si>
    <t>pepsi, ice, soda, snack</t>
  </si>
  <si>
    <t>ผัก, พริดป่น, ข้าวขั้ว</t>
  </si>
  <si>
    <t>มันหมู, ผัก</t>
  </si>
  <si>
    <t>แอลฟี่ ช็อคโกแลต</t>
  </si>
  <si>
    <t>ถุงขยะ 18x20</t>
  </si>
  <si>
    <t>นมอัลมอน, ดีน่ากล่องเล็ก</t>
  </si>
  <si>
    <t>ค่ารถงวด 38</t>
  </si>
  <si>
    <t>ซื้อ scbndq</t>
  </si>
  <si>
    <t>ยาพารา</t>
  </si>
  <si>
    <t>กะเพราะ</t>
  </si>
  <si>
    <t>ที่ปัดน้ำฝน Denso, ที่เจาะกระจกรถตอนฉุกเฉิน</t>
  </si>
  <si>
    <t>ถุงฉี่, หมอน memory foam นอนแคมป์</t>
  </si>
  <si>
    <t>หลอด silicone, หัวบอลกล้อง, โฟมโกนหนวด</t>
  </si>
  <si>
    <t>โฟมล้างรถ</t>
  </si>
  <si>
    <t>Vitamin ต่างๆ</t>
  </si>
  <si>
    <t>กันแดด Verite 50ml</t>
  </si>
  <si>
    <t>Pepsi, ช็อคโกแลต</t>
  </si>
  <si>
    <t>หมูทะกลุ่มเพื่อน</t>
  </si>
  <si>
    <t>นมกีวีไม่อร่อย</t>
  </si>
  <si>
    <t>VT แหนมกับที่บ้าน</t>
  </si>
  <si>
    <t>ไก่, มันหมู</t>
  </si>
  <si>
    <t>ขนมปัง, ขนม</t>
  </si>
  <si>
    <t>ผัก ผลไม้</t>
  </si>
  <si>
    <t>ปะยาง</t>
  </si>
  <si>
    <t>cafe coffee black coconut</t>
  </si>
  <si>
    <t>ลาบ + ซูชิ</t>
  </si>
  <si>
    <t>Pie</t>
  </si>
  <si>
    <t>ซื้อเครปให้พาย</t>
  </si>
  <si>
    <t>ข้าวซอย แซนวิช</t>
  </si>
  <si>
    <t>ปังเย็น</t>
  </si>
  <si>
    <t>ใบกะเพรา</t>
  </si>
  <si>
    <t>ซื้อเครปให้พายย</t>
  </si>
  <si>
    <t>เม้าส์, ที่เก็บเหรียญ, ครีมบำรุงผม, น้ำหอมจานัวร์</t>
  </si>
  <si>
    <t>หมวกกันน้ำ</t>
  </si>
  <si>
    <t>เช่า นฟ ให้พาย</t>
  </si>
  <si>
    <t>pepsi, soda</t>
  </si>
  <si>
    <t>ค่า อท. รามคำแหง รอลบกับเพื่อน</t>
  </si>
  <si>
    <t>สปอนเซอร์</t>
  </si>
  <si>
    <t>ชาเขียว คาเฟ่แมลง(ควรไปที่ไม่ฝนตก), น้ำแข็ง</t>
  </si>
  <si>
    <t>ชาน้ำผึ้งมะนาว</t>
  </si>
  <si>
    <t>สละ, ส้ม นครนายก และมะพร้าว</t>
  </si>
  <si>
    <t>Computer</t>
  </si>
  <si>
    <t>ซื้อแบตเม้าส์มาเปลี่นยเอง</t>
  </si>
  <si>
    <t>ข้าวโพด, ยำลูกชื้น</t>
  </si>
  <si>
    <t>ซื้อน้ำแพ็กให้แม่กล้า แล้วก็น้ำหวานกินเอง</t>
  </si>
  <si>
    <t>น้ำขนม</t>
  </si>
  <si>
    <t>อาหารอีสาน</t>
  </si>
  <si>
    <t>น้ำตู้เต่าบิน</t>
  </si>
  <si>
    <t>เสื้อ Yuedpao, ปากกา MUUJI</t>
  </si>
  <si>
    <t>เนื้อหมู, ไก่, ผงเขย่า</t>
  </si>
  <si>
    <t>ข้้าว</t>
  </si>
  <si>
    <t>ฝากหมวยซื้อข้าว</t>
  </si>
  <si>
    <t>ข้าวมันไก่, กะเพรา, น้ำเปล่า</t>
  </si>
  <si>
    <t>Education</t>
  </si>
  <si>
    <t>หนังสือโค้ชหนุ่ม</t>
  </si>
  <si>
    <t>เสื้อยืด</t>
  </si>
  <si>
    <t>ชาเขียวมะนาว</t>
  </si>
  <si>
    <t>ค่าที่พัก</t>
  </si>
  <si>
    <t>ค่่ากิน</t>
  </si>
  <si>
    <t>ซื้อของก่อนขึ้นเขาหลวง</t>
  </si>
  <si>
    <t>ป้าล้อม</t>
  </si>
  <si>
    <t>pepsi, น้ำเปล่า</t>
  </si>
  <si>
    <t>กะเพราหมู, ไอติมเขาหลวง</t>
  </si>
  <si>
    <t>ค่าเข้า อทย.</t>
  </si>
  <si>
    <t>ขนมจีน buffe</t>
  </si>
  <si>
    <t>ล้้างรถ</t>
  </si>
  <si>
    <t>mflow</t>
  </si>
  <si>
    <t>กาแฟพันธุ์ไทย</t>
  </si>
  <si>
    <t>สายไหม, หมูปิ้ง</t>
  </si>
  <si>
    <t>หมวยช่วยออกค่าบ้าน</t>
  </si>
  <si>
    <t>หมู</t>
  </si>
  <si>
    <t>Taco Bell</t>
  </si>
  <si>
    <t>มะพร้าว</t>
  </si>
  <si>
    <t>ข้าวผัด</t>
  </si>
  <si>
    <t>หมูกะทะ</t>
  </si>
  <si>
    <t>ชานม Koi</t>
  </si>
  <si>
    <t>Babigon</t>
  </si>
  <si>
    <t>น้ำหอม kamakkamen</t>
  </si>
  <si>
    <t>ยาลดกรด</t>
  </si>
  <si>
    <t>ค่ารถงวด 39</t>
  </si>
  <si>
    <t>ผ่อนยางรถ 5/10</t>
  </si>
  <si>
    <t>ผ่อนยางรถ 6/10</t>
  </si>
  <si>
    <t>pepsi, นม</t>
  </si>
  <si>
    <t>ไส้กรอก, สลัดอกไก่</t>
  </si>
  <si>
    <t>ผัก, กระดูกหมู, ข้าวโพด</t>
  </si>
  <si>
    <t>ไส้กรอก, หมูกรอบ</t>
  </si>
  <si>
    <t>Exercise Equipment</t>
  </si>
  <si>
    <t>Resistance Band</t>
  </si>
  <si>
    <t>ข้าวหน้าเนื้อ</t>
  </si>
  <si>
    <t>icream, น้ำเปล่า</t>
  </si>
  <si>
    <t>moiturizer</t>
  </si>
  <si>
    <t>ขนมตอนไป outing</t>
  </si>
  <si>
    <t>ถ่ายเอกสารทำบัตรเครดิต</t>
  </si>
  <si>
    <t>แปรงสีฟัน, ยาสระผม</t>
  </si>
  <si>
    <t>น้ำหอม CK, ครีม verite, มีดโกนหนวด</t>
  </si>
  <si>
    <t>นั่ง grab กลับบ้าน</t>
  </si>
  <si>
    <t>เข้ากลุ่มลิงเล่นหุ้นรายปี</t>
  </si>
  <si>
    <t>Health Insurance</t>
  </si>
  <si>
    <t>ทำประกันแผน หลัก, 48 beyond, unlock double care.</t>
  </si>
  <si>
    <t>bing su</t>
  </si>
  <si>
    <t>พวกกุจแจของญี่ปุ่น</t>
  </si>
  <si>
    <t>BBQ Plaza</t>
  </si>
  <si>
    <t>ถั่ว</t>
  </si>
  <si>
    <t>น้ำหอมรถยนต์</t>
  </si>
  <si>
    <t>ขาจับไมค์, แผ่นรองเม้า</t>
  </si>
  <si>
    <t>เบียร์ + ตี๋น้อย</t>
  </si>
  <si>
    <t>โตเกียว</t>
  </si>
  <si>
    <t>ให้พาย</t>
  </si>
  <si>
    <t>ตั้งแต่วันที่ 20-24</t>
  </si>
  <si>
    <t>Devidend</t>
  </si>
  <si>
    <t>กยศ</t>
  </si>
  <si>
    <t>เน็ตบ้าน</t>
  </si>
  <si>
    <t>เน็็ตมือถือ</t>
  </si>
  <si>
    <t>ข้าวมันไก่, ลูกชิ้น</t>
  </si>
  <si>
    <t>ค่าส่งหูฟัง soundcore</t>
  </si>
  <si>
    <t>สำลี ครีมอาบน้ำไ</t>
  </si>
  <si>
    <t>เปลี่ยนคิ้วรถ</t>
  </si>
  <si>
    <t>เข้าเช็คระยะ 63,000 km</t>
  </si>
  <si>
    <t>ค่าจอดรถสนามบินส่งมิ้น</t>
  </si>
  <si>
    <t>ตั้งแต่วันที่ 27-29</t>
  </si>
  <si>
    <t>Sub-Category breakdown by Month</t>
  </si>
  <si>
    <t>_2025_</t>
  </si>
  <si>
    <t>_10_</t>
  </si>
  <si>
    <t>All</t>
  </si>
  <si>
    <t xml:space="preserve">Remaining Balance </t>
  </si>
  <si>
    <t xml:space="preserve">EXPENSES </t>
  </si>
  <si>
    <t xml:space="preserve">INCOME </t>
  </si>
  <si>
    <t>ID</t>
  </si>
  <si>
    <t>Start Date</t>
  </si>
  <si>
    <t>Card</t>
  </si>
  <si>
    <t>Item</t>
  </si>
  <si>
    <t>Installments</t>
  </si>
  <si>
    <t>Paid Months</t>
  </si>
  <si>
    <t>Remaining</t>
  </si>
  <si>
    <t>End Date</t>
  </si>
  <si>
    <t>ยาง BS_Turanza_6 (53,200km)</t>
  </si>
  <si>
    <t>จ่ายครั้งที่ 10 - 09/02/2026</t>
  </si>
  <si>
    <t>Googl One AI</t>
  </si>
  <si>
    <t>จ่ายครั้งที่ 3 - 02/10/2025</t>
  </si>
  <si>
    <t>แว่นตา Owndays</t>
  </si>
  <si>
    <t>จ่ายครั้งที่ 4 - 07/05/2026</t>
  </si>
  <si>
    <t>IPhone 17 Pro</t>
  </si>
  <si>
    <t>จ่ายครั้งที่ 4 - 01/06/2026</t>
  </si>
  <si>
    <t>ช่วงล่าง Mu-X ที Auto 1</t>
  </si>
  <si>
    <t>จ่ายครั้งที่ 1 - 18/05/2026</t>
  </si>
  <si>
    <t>กิน</t>
  </si>
  <si>
    <t>Income</t>
  </si>
  <si>
    <t xml:space="preserve">หมายเหตุ </t>
  </si>
  <si>
    <t>ค่าของเข้าห้อง/บ้าน mbk</t>
  </si>
  <si>
    <t>หัก Tax 900 -&gt; 1,000</t>
  </si>
  <si>
    <t>ค่าน้ำมัน(เดินทาง) mbk</t>
  </si>
  <si>
    <t>เป้าหมายเงินฉุกเฉิน 25,000*6=150,000</t>
  </si>
  <si>
    <t>น้ำไฟ mbk</t>
  </si>
  <si>
    <t>ค่ารถ nombk</t>
  </si>
  <si>
    <t>skincare mbk</t>
  </si>
  <si>
    <t>ค่าเน็ต AIS</t>
  </si>
  <si>
    <t>SUM</t>
  </si>
  <si>
    <t>Current case</t>
  </si>
  <si>
    <t>July</t>
  </si>
  <si>
    <t>Nov</t>
  </si>
  <si>
    <t>ปี 2027</t>
  </si>
  <si>
    <t>เงินที่เหลือจากข้างบน</t>
  </si>
  <si>
    <t>ของเข้าบ้านเดี๋ยวใส่เพิ่มเดือน 4/2026</t>
  </si>
  <si>
    <t>free เอาไปใส่ได้หมด</t>
  </si>
  <si>
    <t>ผ่อน IP 17Pro</t>
  </si>
  <si>
    <t>เช่นเก็บ 3,000 แต่เงินถึง 30k แล้วให้หักไป 2k ไปจ่าย กยศ</t>
  </si>
  <si>
    <t>เที่ยว, กิน kept</t>
  </si>
  <si>
    <t>ภาษี kept</t>
  </si>
  <si>
    <t>เงินฉุกเฉิน kept</t>
  </si>
  <si>
    <t>กยศ dime</t>
  </si>
  <si>
    <t>เดือนกรกฎาเก็บไว้ใน kept จนกว่าจะครบยอดผ่อนปี 2670</t>
  </si>
  <si>
    <t>รถยนต์ kept</t>
  </si>
  <si>
    <t>รอเทรดหุ้น dime</t>
  </si>
  <si>
    <t>Gemini kept</t>
  </si>
  <si>
    <t>ประกันรวม kept</t>
  </si>
  <si>
    <t>รวม</t>
  </si>
  <si>
    <t>ถ้าเงินเก็บ &gt; 100k เอามาผ่อน กยศ</t>
  </si>
  <si>
    <t>ยอด OT</t>
  </si>
  <si>
    <t xml:space="preserve"> ฉุกเฉิน 25%</t>
  </si>
  <si>
    <t>ไว้เทรด 30%</t>
  </si>
  <si>
    <t>ภาษี 15%</t>
  </si>
  <si>
    <t>อะไรก็ได้ 30%</t>
  </si>
  <si>
    <t>แผน Bonus ปี 2027</t>
  </si>
  <si>
    <t>รถ</t>
  </si>
  <si>
    <t>เติม us stock</t>
  </si>
  <si>
    <t>ดูว่าเหลืออีกเท่าไหร่ก็หักออกไปได้เลย</t>
  </si>
  <si>
    <t>เงินฉุกเฉิน</t>
  </si>
  <si>
    <t>เปย์ตัวเอง</t>
  </si>
  <si>
    <t>ถ้าเงิน travel ไม่ถึง 30k ก็เติมเข้าไป</t>
  </si>
  <si>
    <t>ซื้อของเข้าบ้าน</t>
  </si>
  <si>
    <t>รวมจ่ายค่าส่วนกลางหมู่บ้าน</t>
  </si>
  <si>
    <t>รอจ่ายตอนยอดของปีขึ้นมา</t>
  </si>
  <si>
    <t>กยศ จ่ายเลย</t>
  </si>
  <si>
    <t>ซื้อของใหญ่</t>
  </si>
  <si>
    <t>Bonus</t>
  </si>
  <si>
    <t>คงเหลือ</t>
  </si>
  <si>
    <t>ให้ย่า</t>
  </si>
  <si>
    <t>ไอเดียทำเว็บ</t>
  </si>
  <si>
    <t>บัตรเครดิตจะมีหน้ากรอกแยกและ ให้ใส่เงินรวมก่อน และให้แยกออกเป็น transaction ของแต่ละอย่างที่ซื้อ</t>
  </si>
  <si>
    <t>Summary</t>
  </si>
  <si>
    <t>List</t>
  </si>
  <si>
    <t>Contigency reserve</t>
  </si>
  <si>
    <t>Hold for pay</t>
  </si>
  <si>
    <r>
      <rPr>
        <rFont val="Consolas"/>
        <b/>
        <color rgb="FFFFFFFF"/>
        <sz val="16.0"/>
      </rPr>
      <t xml:space="preserve">Sum only </t>
    </r>
    <r>
      <rPr>
        <rFont val="Consolas"/>
        <b/>
        <color rgb="FFFFDA02"/>
        <sz val="16.0"/>
      </rPr>
      <t>KEPT</t>
    </r>
  </si>
  <si>
    <t>All Networth</t>
  </si>
  <si>
    <t>Contigency Reserve</t>
  </si>
  <si>
    <t>2024(50k)</t>
  </si>
  <si>
    <t>2025 (80k)</t>
  </si>
  <si>
    <t>2026 (100k)</t>
  </si>
  <si>
    <t>2027 (120k)</t>
  </si>
  <si>
    <t>2028 (140k)</t>
  </si>
  <si>
    <t>2029 (160k)</t>
  </si>
  <si>
    <t>2030 (200K)</t>
  </si>
  <si>
    <t>Make by kbank</t>
  </si>
  <si>
    <t>Kept by krungsri</t>
  </si>
  <si>
    <t>Bualuang bank (balance)</t>
  </si>
  <si>
    <t>Dime</t>
  </si>
  <si>
    <t>Sum</t>
  </si>
  <si>
    <t>Hold for pay (kept)</t>
  </si>
  <si>
    <t xml:space="preserve">Studentloan </t>
  </si>
  <si>
    <t>ปิดหนี้ กรอ เดือน 1 ปี 2028</t>
  </si>
  <si>
    <t>Car</t>
  </si>
  <si>
    <t>Buy big thing</t>
  </si>
  <si>
    <t>เดือน august เอาเงินนี้ไปผ่อน</t>
  </si>
  <si>
    <t>Learn</t>
  </si>
  <si>
    <t>Insure</t>
  </si>
  <si>
    <t>Subscribe</t>
  </si>
  <si>
    <t>To</t>
  </si>
  <si>
    <t>Deposit</t>
  </si>
  <si>
    <t>Withdraw</t>
  </si>
  <si>
    <t>case, phone gear</t>
  </si>
  <si>
    <t>travel_2026</t>
  </si>
  <si>
    <t>uob</t>
  </si>
  <si>
    <t>ประกันรถยนต์</t>
  </si>
  <si>
    <t>car_2026</t>
  </si>
  <si>
    <t>pepsi can, milk, yogurt</t>
  </si>
  <si>
    <t>wheyprotein, honey, ไขควง</t>
  </si>
  <si>
    <t>ttb</t>
  </si>
  <si>
    <t>Davinci course for video editing.</t>
  </si>
  <si>
    <t>case ip17pro, whey protein, doll, fragrance</t>
  </si>
  <si>
    <t>แคปหมู, film ip, pepsi, phone strap</t>
  </si>
  <si>
    <t>ยาสีฟัน, case ip17pro, phone holder, shokubutsu</t>
  </si>
  <si>
    <t>พักรอจ่ายค่าซ่อมรถแม่(จ่าย)</t>
  </si>
  <si>
    <t>ภาษี</t>
  </si>
  <si>
    <t>tax_2026</t>
  </si>
  <si>
    <t>กาแฟ</t>
  </si>
  <si>
    <t>ข้าวเที่ยงกับไอเก๋า</t>
  </si>
  <si>
    <t>เบียร์ลาดพร้าว</t>
  </si>
  <si>
    <t>จ่ายภาษี 3/3</t>
  </si>
  <si>
    <t>รอจ่ายของเข้าบ้าน</t>
  </si>
  <si>
    <t>2222 ถึงวันค่อยหัก</t>
  </si>
  <si>
    <t>health insure</t>
  </si>
  <si>
    <t>insure_2026</t>
  </si>
  <si>
    <t>google one ai</t>
  </si>
  <si>
    <t>sub_2026</t>
  </si>
  <si>
    <t>รถยนต์</t>
  </si>
  <si>
    <t>ภาษีี</t>
  </si>
  <si>
    <t>กินเที่ยว</t>
  </si>
  <si>
    <t>ซื้อของฝากปั๊มเท่ง</t>
  </si>
  <si>
    <t>ค่าเที่ี่ยว</t>
  </si>
  <si>
    <t>เติมน้ำมัันเพชรบุรี</t>
  </si>
  <si>
    <t>เติมน้ำมันละแม ชุมพร</t>
  </si>
  <si>
    <t>เติมน้ำมันที่สุราษ</t>
  </si>
  <si>
    <t>ค่าน้ำมันขากลับ</t>
  </si>
  <si>
    <t>Old spice &amp; Ulanzi SC-02, ตาข่าย Mu-X</t>
  </si>
  <si>
    <t>2232 มียกเลิกไป 351 = 1881</t>
  </si>
  <si>
    <t>ค่ากิินเที่ยว</t>
  </si>
  <si>
    <t>ค่าไข่เค็มของฝาก</t>
  </si>
  <si>
    <t>ค่าเบียร์ร้านพี่มน</t>
  </si>
  <si>
    <t>ค่าเหล้าวิถี On Tap</t>
  </si>
  <si>
    <t>ค่าห้องพัก</t>
  </si>
  <si>
    <t>จ่ายค่าซ่อมรถแม่เพิ่ม</t>
  </si>
  <si>
    <t>ค่าเน็ต ais</t>
  </si>
  <si>
    <t>ค่ากินเที่ยว</t>
  </si>
  <si>
    <t>ค่าแคมป์วังปริง+เข้า อทย</t>
  </si>
  <si>
    <t>ค่าที่ี่พัก smile resort ทุ่งสง</t>
  </si>
  <si>
    <t>น้ำมันก่อนเข้าทุ่งสง</t>
  </si>
  <si>
    <t>กินเบียร์ bloom urt</t>
  </si>
  <si>
    <t>craftbeer วิถี On Tap</t>
  </si>
  <si>
    <t>ค่าแว่น 4/4</t>
  </si>
  <si>
    <t>bigthin_2026</t>
  </si>
  <si>
    <t>ที่พัก me home surat</t>
  </si>
  <si>
    <t>ถุงซักผ้ามีซิ๊ป</t>
  </si>
  <si>
    <t>เปลี่่ยนกันสาด Mu-X</t>
  </si>
  <si>
    <t>จ่ายภาษี 2/3</t>
  </si>
  <si>
    <t>ซื้อของรอไปเที่ยว</t>
  </si>
  <si>
    <t>รอเที่ยว</t>
  </si>
  <si>
    <t>ค่าเที่ยวจันทร์</t>
  </si>
  <si>
    <t>เลี้ยงข้าวที่บ้าน</t>
  </si>
  <si>
    <t>อาหารหมาและของกินเล่น</t>
  </si>
  <si>
    <t>หมวยช่วยค่า lotus kalasin</t>
  </si>
  <si>
    <t>น้ำหอม, ผ้าเช็ดในรถ</t>
  </si>
  <si>
    <t xml:space="preserve">ไมค์, cleansing, ถุงใส่ vitamin </t>
  </si>
  <si>
    <t>ซื้อของ lotus kalasin</t>
  </si>
  <si>
    <t>ใส่บาตรพระหนุน</t>
  </si>
  <si>
    <t>ค่าแว่่น 3/4</t>
  </si>
  <si>
    <t>จ่าย tax 1/3</t>
  </si>
  <si>
    <t>Lofree flow lite</t>
  </si>
  <si>
    <t>มัดจำค่าเที่ยว</t>
  </si>
  <si>
    <t>รองเท้าวิ่ง</t>
  </si>
  <si>
    <t>ค่าแบตรถยนต์</t>
  </si>
  <si>
    <t>เช็คระยะ 70,000km</t>
  </si>
  <si>
    <t>ซื้อ decathlon</t>
  </si>
  <si>
    <t>ซื้อของ shopee</t>
  </si>
  <si>
    <t>prime video</t>
  </si>
  <si>
    <t>เบียร์ ลาดพร้าว</t>
  </si>
  <si>
    <t>ค่าแว่่น 2/4</t>
  </si>
  <si>
    <t>กินเบียร์</t>
  </si>
  <si>
    <t>จ่าย IP 17 Pro</t>
  </si>
  <si>
    <t>บัตร ttb ss ขาด</t>
  </si>
  <si>
    <t>smarttag, mcsafe, miror mcsafe</t>
  </si>
  <si>
    <t>รอจ่าย IP 17 Pro</t>
  </si>
  <si>
    <t>bento ข้าวเที่ยง</t>
  </si>
  <si>
    <t>ซื้อของ Lotus</t>
  </si>
  <si>
    <t xml:space="preserve">เบียร์เพื่อนจิ๊-ไทเกอร์ </t>
  </si>
  <si>
    <t>case ipad</t>
  </si>
  <si>
    <t>สมัคร Prime</t>
  </si>
  <si>
    <t>หมวยโอนค่าแว่น</t>
  </si>
  <si>
    <t>ค่าแว่น 1/4</t>
  </si>
  <si>
    <t>ค่ายางรถ 10/10</t>
  </si>
  <si>
    <t>จ่าย ktc เพิ่ม</t>
  </si>
  <si>
    <t>xiaomi sound party</t>
  </si>
  <si>
    <t>mcsafe holder</t>
  </si>
  <si>
    <t>mcsafe ring holder</t>
  </si>
  <si>
    <t>camera control protector</t>
  </si>
  <si>
    <t>film IP17Pro</t>
  </si>
  <si>
    <t>case IP 17Pro</t>
  </si>
  <si>
    <t>เสื้อ, pop corn</t>
  </si>
  <si>
    <t>sofa</t>
  </si>
  <si>
    <t>รอซื้อของใหญ่</t>
  </si>
  <si>
    <t>รอ sub Google One</t>
  </si>
  <si>
    <t>insure</t>
  </si>
  <si>
    <t>carlinkit, cocoa, กล่องผัก double lock</t>
  </si>
  <si>
    <t>ค่าชูชิ</t>
  </si>
  <si>
    <t>shopee</t>
  </si>
  <si>
    <t>shinkanzen</t>
  </si>
  <si>
    <t>ค่ายางรถ 9/10</t>
  </si>
  <si>
    <t>เสื้อขาว (คืน)</t>
  </si>
  <si>
    <t xml:space="preserve">shopee </t>
  </si>
  <si>
    <t>เที่ยวกับพาย</t>
  </si>
  <si>
    <t>travel_2025</t>
  </si>
  <si>
    <t>sl_2025</t>
  </si>
  <si>
    <t>bigthin_2025</t>
  </si>
  <si>
    <t>car_2025</t>
  </si>
  <si>
    <t>insure_2025</t>
  </si>
  <si>
    <t>sub_2025</t>
  </si>
  <si>
    <t>tax_2025</t>
  </si>
  <si>
    <t>เที่ยวเชียงใหม่</t>
  </si>
  <si>
    <t>ยางรถ 8/10</t>
  </si>
  <si>
    <t>เที่ี่ยวเชียงใหม่</t>
  </si>
  <si>
    <t>ซื้อกระเป๋าวิ่ง, หมวก decathlon</t>
  </si>
  <si>
    <t>กล่่องกรีก, ครอบแม็กล้อ, ลูกบอลซัก, ป้ายบ้าน, ที่นอนเป่าลม</t>
  </si>
  <si>
    <t>ค่ายางรถ 7/10</t>
  </si>
  <si>
    <t>งานแต่งโม</t>
  </si>
  <si>
    <t>ซื้อเหรียญ webtoon</t>
  </si>
  <si>
    <t>learn_2025</t>
  </si>
  <si>
    <t>เช็คระยะรถยนต์ครั้งที่ 9  61,679km</t>
  </si>
  <si>
    <t>Google AI รายปี จ่ายครั้งที่ 3/3</t>
  </si>
  <si>
    <t>รอจ่าย GOOgle one ai</t>
  </si>
  <si>
    <t>เบียร์ตี๋น้อยวันเกินไอมุก</t>
  </si>
  <si>
    <t>น้ำหอมรถ, ขาจับไมค์, แผ่นรองเม้าส์</t>
  </si>
  <si>
    <t>ประกันสุขภาพ จ่ายส่วนต่างเผื่ออนาคต</t>
  </si>
  <si>
    <t>ประกันสุขภาพ</t>
  </si>
  <si>
    <t>เข้้ากลุ่มลิงเล่นหุ้น</t>
  </si>
  <si>
    <t>น้ำหอม</t>
  </si>
  <si>
    <t>น้ำมัน</t>
  </si>
  <si>
    <t>resistance band @decathlon</t>
  </si>
  <si>
    <t>เงินค่่าไปเที่ยว</t>
  </si>
  <si>
    <t>เงินขาดจากการไปเที่ยว</t>
  </si>
  <si>
    <t>ค่ายางรถ 6/10</t>
  </si>
  <si>
    <t>เงินขาด</t>
  </si>
  <si>
    <t>เสื้อยืด + หนังสือโค้ชหนุ่ม</t>
  </si>
  <si>
    <t>น้ำผึ้้ง</t>
  </si>
  <si>
    <t>Google AI รายปี จ่ายครั้งที่ 2/3</t>
  </si>
  <si>
    <t>เสื้อ Yuepao, ปากกา MUUJi</t>
  </si>
  <si>
    <t>ค่าที่พัก + ปะยาง</t>
  </si>
  <si>
    <t>ค่ายางรถ 5/10</t>
  </si>
  <si>
    <t>จ่าย กรอ</t>
  </si>
  <si>
    <t>หมอน, โฟมโกนหนวด, ทุบกระจกฉุกเฉิน, หัวบอลติดกล้อง,
ถุงฉี่, หลอด silicone</t>
  </si>
  <si>
    <t xml:space="preserve">รอจ่าย กรอ. </t>
  </si>
  <si>
    <t>รอซื้ื้อของ</t>
  </si>
  <si>
    <t>รอจ่าย google one ai</t>
  </si>
  <si>
    <t>เงินไม่พอจ่าย ttb</t>
  </si>
  <si>
    <t>รอจ่ายค่า big c</t>
  </si>
  <si>
    <t>ซื้อของ big-c ให้คนเฒ่า</t>
  </si>
  <si>
    <t>จ่ายค่ายาง 4/10</t>
  </si>
  <si>
    <t>ย้ายมารอจ่าย เขีบง sp, gooogle ai</t>
  </si>
  <si>
    <t>Google AI รายปี จ่ายครั้งที่ 1/3</t>
  </si>
  <si>
    <t>เที่ยวระยอง</t>
  </si>
  <si>
    <t>ซื้อ Amazfit Active 2, ชุดโกนหนวด</t>
  </si>
  <si>
    <t>เงินเหลือจากบัตร ttb</t>
  </si>
  <si>
    <t>เงินค่าบัตรไม่พอลืมเอามาใส่ตอนหาร</t>
  </si>
  <si>
    <t>เงินรายสัปดาห์ไม่พอ</t>
  </si>
  <si>
    <t>เอาเงินไปเที่ยวเขาหลวง (failed)</t>
  </si>
  <si>
    <t>ภาษีเงินหมอเส็ง</t>
  </si>
  <si>
    <t>หมวกกันน้ำ, ไฟคาดหัว</t>
  </si>
  <si>
    <t>ฮาจิบัง</t>
  </si>
  <si>
    <t>เสื้ือผ้าเดินป่า</t>
  </si>
  <si>
    <t>ground sheet</t>
  </si>
  <si>
    <t>70mai Jump Starter</t>
  </si>
  <si>
    <t>อุปกรณ์เดินป่า</t>
  </si>
  <si>
    <t>โอนกลับ</t>
  </si>
  <si>
    <t>เงินเที่ยว ไม่พอถึงตอนเงินออก</t>
  </si>
  <si>
    <t>ภาษีเงิินหมอเส็ง</t>
  </si>
  <si>
    <t>ค่าเสียหายส่วนแรกในการเครมสีรถ</t>
  </si>
  <si>
    <t>เงิินบัตรขาด</t>
  </si>
  <si>
    <t>กระเป๋าเดินเป่ามือสอง</t>
  </si>
  <si>
    <t>จ่ายค่ายาง 2/10</t>
  </si>
  <si>
    <t>จ่ายค่ายางที่หักส่วนลด 1,093</t>
  </si>
  <si>
    <t>แคมป์, ของใช้</t>
  </si>
  <si>
    <t>เงินเที่ยว</t>
  </si>
  <si>
    <t>เบียร์์กับเพื่อนห้อง 8</t>
  </si>
  <si>
    <t>242 TTB</t>
  </si>
  <si>
    <t>เช็คระยะรถยนต์ครั้งที่ 8 (54,312 km)</t>
  </si>
  <si>
    <t>รอเที่ี่ยว</t>
  </si>
  <si>
    <t>ที่พักแก่งกระจาน</t>
  </si>
  <si>
    <t>หมวยโอนมาหาร</t>
  </si>
  <si>
    <t>การ์ดหอม, จุกปิดซิงค์, เบาะลองนอนในรถ</t>
  </si>
  <si>
    <t>เลี้ยงหมูกะทะบ้านอาด้วง</t>
  </si>
  <si>
    <t>ของกิน Lotus</t>
  </si>
  <si>
    <t>ค่ากุ้ง แจ่วฮ้อน</t>
  </si>
  <si>
    <t>ซื้อของให้คนเฒ่า</t>
  </si>
  <si>
    <t>ให้ตังคนเฒ่าที่บ้าน</t>
  </si>
  <si>
    <t>ซื้อเบียร​์กิน</t>
  </si>
  <si>
    <t>แม่จ่ายค่าแบรนรังนก</t>
  </si>
  <si>
    <t>lotusแม่หมวยแบล็ค 600 + 275.25</t>
  </si>
  <si>
    <t>รับจาก bigthing มา travel</t>
  </si>
  <si>
    <t>ย้าย bigthing ไป travel</t>
  </si>
  <si>
    <t>ลืมจ่าย KTC-CC</t>
  </si>
  <si>
    <t xml:space="preserve">ซื้อ wallet story Pro - lifetime </t>
  </si>
  <si>
    <t>ย้ายเงินไป car</t>
  </si>
  <si>
    <t>ห้องพัก@ปราจีน tone hotel</t>
  </si>
  <si>
    <t>ห้องพัก@ปราจีน country inn hotel</t>
  </si>
  <si>
    <t>รอจ่่ายบัตร ttb</t>
  </si>
  <si>
    <t>ไปจ่ายส่วนที่หาย</t>
  </si>
  <si>
    <t>ภาษีหมอเส็ง</t>
  </si>
  <si>
    <t>learn</t>
  </si>
  <si>
    <t>ซื้อรองเท้า</t>
  </si>
  <si>
    <t>ย้ายเงินไปเติม port Dime FCD</t>
  </si>
  <si>
    <t>ย้ากำจัดมด, ปลั๊ก</t>
  </si>
  <si>
    <t>skadis pegboard ikea</t>
  </si>
  <si>
    <t>รอจ่ายบัตร, เงินเศษ, #จ่ายแล้ว</t>
  </si>
  <si>
    <t>ลูกกลิ้ง + ที่ situp</t>
  </si>
  <si>
    <t>ซื้อสายชาร์จ iphone</t>
  </si>
  <si>
    <t>ย้านเงินมาจ่ายค่าบาร์ที่ฝากซื้อ</t>
  </si>
  <si>
    <t>ค่าบาร์น้าดลฝากซื้อ</t>
  </si>
  <si>
    <t>จ่่ายภาษีปี 2567</t>
  </si>
  <si>
    <t>ค่าเบียร์</t>
  </si>
  <si>
    <t>เบิกมาใช้320+ค่าที่พัก690+500</t>
  </si>
  <si>
    <t>จ่ายเงินค่ารถกลับบ้าน</t>
  </si>
  <si>
    <t>เติมน้ำมันเที่ยว</t>
  </si>
  <si>
    <t>สายชาร์จ u-green</t>
  </si>
  <si>
    <t>เครื่องฟอด xiaomi</t>
  </si>
  <si>
    <t xml:space="preserve">lostus </t>
  </si>
  <si>
    <t>หูฟัง</t>
  </si>
  <si>
    <t>เครื่องปั่น</t>
  </si>
  <si>
    <t>ของโลตัส</t>
  </si>
  <si>
    <t>หัวสวมไว + grider พริกไทย</t>
  </si>
  <si>
    <t xml:space="preserve">แก้วเก็บความเย็น + เวย์ </t>
  </si>
  <si>
    <t>หัวฉีดโฟมล้างรถ + ผ้าม่าน</t>
  </si>
  <si>
    <t>เสื้อ uniqlo</t>
  </si>
  <si>
    <t>กล่องใส่ของ + ถ่าน</t>
  </si>
  <si>
    <t>เครื่องฉีดน้ำ Pumpkin</t>
  </si>
  <si>
    <t>vaseline, จอXiaom, ผ้าม่าน,
กล้องวงจร, รองขาจับจอ</t>
  </si>
  <si>
    <t>ขาจับ ergonoz</t>
  </si>
  <si>
    <t>sd card + light bar</t>
  </si>
  <si>
    <t>โต๊ะไฟฟ้า</t>
  </si>
  <si>
    <t>ซื้้อเสื้อ Uniqlo</t>
  </si>
  <si>
    <t>bigthin</t>
  </si>
  <si>
    <t>เช็คระยะรถยนต์ 49KM</t>
  </si>
  <si>
    <t>เข้าบ้าน lotus online</t>
  </si>
  <si>
    <t>ซื้อของเข้าบ้าน lotus online</t>
  </si>
  <si>
    <t>เบียร์กับทีม Bay</t>
  </si>
  <si>
    <t>กินข้าวกับทีม Bay</t>
  </si>
  <si>
    <t>ค่าน้ำมัน</t>
  </si>
  <si>
    <t>ค่าน้ำมันเที่ยวเหนือ</t>
  </si>
  <si>
    <t>tgl</t>
  </si>
  <si>
    <t>เติมหุ้น</t>
  </si>
  <si>
    <t>kept_2026</t>
  </si>
  <si>
    <t>ฝากเงิน</t>
  </si>
  <si>
    <t>ttb ss cashback</t>
  </si>
  <si>
    <t>ฝาก kept</t>
  </si>
  <si>
    <t>คืนเงินเข้า kept</t>
  </si>
  <si>
    <t>เอาไปจ่าย UOB เพราะจ่ายยอดผิดเดือน</t>
  </si>
  <si>
    <t>เอาเงินกลับจาก crypto</t>
  </si>
  <si>
    <t>ซื้อ crypto</t>
  </si>
  <si>
    <t>เงินเหลืือจาก ttb sosmart</t>
  </si>
  <si>
    <t>to kept</t>
  </si>
  <si>
    <t>swap dime</t>
  </si>
  <si>
    <t>dime_2026</t>
  </si>
  <si>
    <t>เบียร์ @บางพระ</t>
  </si>
  <si>
    <t>รร hobb-in บางพระ</t>
  </si>
  <si>
    <t>ฝาก dime</t>
  </si>
  <si>
    <t>ซองงานแต่งพี่อัด</t>
  </si>
  <si>
    <t>mbk_2026</t>
  </si>
  <si>
    <t>TTB ss cashback</t>
  </si>
  <si>
    <t>cashback so smart and เงินเหลือ</t>
  </si>
  <si>
    <t>ฝาก mbk</t>
  </si>
  <si>
    <t>ฝาก</t>
  </si>
  <si>
    <t>ย้ายออก</t>
  </si>
  <si>
    <t>blb_2026</t>
  </si>
  <si>
    <t xml:space="preserve">เอาเงิินไปเติม port </t>
  </si>
  <si>
    <t>dime_2025</t>
  </si>
  <si>
    <t>ดอกเบีีี้ย kept</t>
  </si>
  <si>
    <t>kept_2025</t>
  </si>
  <si>
    <t>ดอกเบี้ย mbk</t>
  </si>
  <si>
    <t>เสื้อกันหนาว decathlon, ขวดน้ำนิ่ม, ถุงเท้า</t>
  </si>
  <si>
    <t>แลกเงินรอซื้อหุ้น</t>
  </si>
  <si>
    <t>ประกันสุขภาพ  จ่ายส่วนต่างเพื่ออนาคต</t>
  </si>
  <si>
    <t>เอาเงิิินออกจากหุ้นมาไว้</t>
  </si>
  <si>
    <t>UOB Cashback</t>
  </si>
  <si>
    <t>ถอนไปแลกเงินรอเทรด 2 เดือน Nov ต้องฝากเงินคืนครบ</t>
  </si>
  <si>
    <t>จ่ายภาษีย้อนหลัง</t>
  </si>
  <si>
    <t>ดอกเบี้ย</t>
  </si>
  <si>
    <t>ฝากคืนเดือน Aug</t>
  </si>
  <si>
    <t>ฝากคืืนเดือน July</t>
  </si>
  <si>
    <t>ttb ss cashback เดือนก่อนและของปั๊ม 54 บาท</t>
  </si>
  <si>
    <t>ฝากคืน June</t>
  </si>
  <si>
    <t>ถอนไปแลกเงินรอเทรด 2 เดือน Sept ต้องฝากเงินคืนครบ</t>
  </si>
  <si>
    <t>เงินเหลือจากไหนไม่รู้</t>
  </si>
  <si>
    <t>ถอนไปแลกเงินรอเทรด 2 เดือน July ต้องฝากเงินคืนครบ</t>
  </si>
  <si>
    <t>TTB ss cashback, เงินค้าง (57.05 + 36) + 0.67</t>
  </si>
  <si>
    <t>เก็บเงิน</t>
  </si>
  <si>
    <t>blb_2025</t>
  </si>
  <si>
    <t>mbk_2025</t>
  </si>
  <si>
    <t>เอาเงิินออกไว้รอเทรด</t>
  </si>
  <si>
    <t>ค่าล้างรถแม่</t>
  </si>
  <si>
    <t>ถอนเงินจาก Radar Point</t>
  </si>
  <si>
    <t>ฝาก kept + OT</t>
  </si>
  <si>
    <t>cashback so smart</t>
  </si>
  <si>
    <t>ย้ายบัวหลวงไป kept</t>
  </si>
  <si>
    <t>ดอกเบี้ย dime</t>
  </si>
  <si>
    <t>Event Details</t>
  </si>
  <si>
    <t>ปรัับเงินขึ้น 6,332 บาท</t>
  </si>
  <si>
    <t>ปรับเงินเดือนขึ้น 2,657 บาท</t>
  </si>
  <si>
    <t>Total Debt</t>
  </si>
  <si>
    <t>Total Pay</t>
  </si>
  <si>
    <t>Outstanding</t>
  </si>
  <si>
    <t>Investing</t>
  </si>
  <si>
    <t>อาหารหลัก (Main meals)</t>
  </si>
  <si>
    <t>Activewear</t>
  </si>
  <si>
    <t>ค่าส่วนกลางหมู่บ้าน (Community Fees)</t>
  </si>
  <si>
    <t>OT</t>
  </si>
  <si>
    <t>ของว่าง (Snacks)</t>
  </si>
  <si>
    <t>TH Stock</t>
  </si>
  <si>
    <t>Accident insurance</t>
  </si>
  <si>
    <t>Donation</t>
  </si>
  <si>
    <t>เครื่องดื่ม (Drinks)</t>
  </si>
  <si>
    <t>Movie</t>
  </si>
  <si>
    <t>Major</t>
  </si>
  <si>
    <t>Freelance</t>
  </si>
  <si>
    <t>อาหารปรุงเอง (Groceries)</t>
  </si>
  <si>
    <t>ค่าที่จอดรถ, 
ค่าธรรมเนียมต่างๆ 
(Fee)</t>
  </si>
  <si>
    <t>Accident</t>
  </si>
  <si>
    <t>SF</t>
  </si>
  <si>
    <t>อาหารนอกบ้าน (Dine-out)</t>
  </si>
  <si>
    <t>ของที่ใช้กับรถ (Vehicle)</t>
  </si>
  <si>
    <t>ค่าที่จอดรถ (Fee)</t>
  </si>
  <si>
    <t>Dept</t>
  </si>
  <si>
    <t>อาหารเสริม (Supplement)</t>
  </si>
  <si>
    <t>ค่่าบริการสถานที่ต่างๆ (Fee)</t>
  </si>
  <si>
    <t>Dividend</t>
  </si>
  <si>
    <t>เครื่องดื่มแอลกอฮอล์ (Alcohol)</t>
  </si>
  <si>
    <t>PT Gas Station</t>
  </si>
  <si>
    <t>Other</t>
  </si>
  <si>
    <t>Payment Method</t>
  </si>
  <si>
    <t>Reconciliation Day</t>
  </si>
  <si>
    <t>Credit Limit</t>
  </si>
  <si>
    <t>Benefits</t>
  </si>
  <si>
    <t xml:space="preserve">Cashback:
10% -&gt; MRT, Amazon
5% -&gt; 7-11, Grab, Watson
1% -&gt; other
Get movie ticket 1 free 1 - ใช้ได้ 2ครั้ง/เดือน
คุ้มครองอุบัติเหตุระหว่างการเดินทางสูงสุด 10,000,000 บาท ต่อบัตร เมื่อชำระค่าโดยสารผ่านบัตรเครดิต UOB One
ค่าธรรมเนียม
- ฟรีปีแรก
- ปีถัดไป 2,000 บาท ยกเว้นใช้จ่ายไม่ต่ำกว่า 60,000 ภายใน 12 รอบบิล
</t>
  </si>
  <si>
    <t>22</t>
  </si>
  <si>
    <t xml:space="preserve">Cashback:
3% -&gt; Bangchak (เติมแค่ 620),
Caltex (เติมแค่ 720)
1% -&gt; other (ร้านค้าในไทย)
ผ่อน 0% นานสูงสุด 3 เดือน ยอด 1,000 ขึ้นไป
ประกันอุบัติเหตุเมื่อชําระค่าโดยสารยานพาหนะสาธารณะผ่านบัตรเครดิต
ฟรีค่าธรรมเนียมรายปี
</t>
  </si>
  <si>
    <t>5</t>
  </si>
  <si>
    <t xml:space="preserve">Cashback:
1% -&gt; Bangchak ไม่เกิน 3,000/เซลส์สลิป
รับ 1 คะแนนทุก 25 บาท
ผ่อน 0% นานสูงสุด 10 เดือน
ประกันอุบัติเหตุการเดินทางทั้งในและต่างประเทศ และประกันกระเป๋าเดินทางสูญเสีย
หรือเสียหายจากการเดินทาง
***เมื่อจ่ายค่าเดินทางด้วยบัตรนี้
ฟรีค่าธรรมเนียมรายปี
</t>
  </si>
  <si>
    <t>Subcategory</t>
  </si>
  <si>
    <t>Community Fees</t>
  </si>
  <si>
    <t>Filter Category</t>
  </si>
  <si>
    <t/>
  </si>
  <si>
    <t>_8_</t>
  </si>
  <si>
    <t>_7_</t>
  </si>
  <si>
    <t>_6_</t>
  </si>
  <si>
    <t>_5_</t>
  </si>
  <si>
    <t>_4_</t>
  </si>
  <si>
    <t>_3_</t>
  </si>
  <si>
    <t>_2_</t>
  </si>
  <si>
    <t>_1_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</si>
</sst>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m&quot;/&quot;yyyy"/>
    <numFmt numFmtId="165" formatCode="[$฿]#,##0.00"/>
    <numFmt numFmtId="166" formatCode="dd&quot;/&quot;mm&quot;/&quot;yyyy"/>
    <numFmt numFmtId="167" formatCode="dd/mm/yyyy"/>
    <numFmt numFmtId="168" formatCode="ddd&quot; - &quot;dd&quot; &quot;mmm&quot;,&quot;yyyy"/>
  </numFmts>
  <fonts count="28">
    <font>
      <sz val="10.0"/>
      <color rgb="FF000000"/>
      <name val="Arial"/>
      <scheme val="minor"/>
    </font>
    <font>
      <b/>
      <sz val="14.0"/>
      <color rgb="FFFFFFFF"/>
      <name val="Consolas"/>
    </font>
    <font>
      <sz val="12.0"/>
      <color theme="1"/>
      <name val="Consolas"/>
    </font>
    <font>
      <strike/>
      <sz val="12.0"/>
      <color theme="1"/>
      <name val="Consolas"/>
    </font>
    <font>
      <u/>
      <sz val="12.0"/>
      <color theme="1"/>
      <name val="Consolas"/>
    </font>
    <font>
      <b/>
      <sz val="16.0"/>
      <color theme="1"/>
      <name val="Consolas"/>
    </font>
    <font>
      <sz val="14.0"/>
      <color theme="1"/>
      <name val="Consolas"/>
    </font>
    <font>
      <b/>
      <sz val="14.0"/>
      <color theme="1"/>
      <name val="Consolas"/>
    </font>
    <font>
      <b/>
      <sz val="14.0"/>
      <color theme="1"/>
      <name val="Arial"/>
      <scheme val="minor"/>
    </font>
    <font>
      <b/>
      <sz val="16.0"/>
      <color rgb="FFFFFFFF"/>
      <name val="Arial"/>
      <scheme val="minor"/>
    </font>
    <font>
      <b/>
      <sz val="16.0"/>
      <color rgb="FF000000"/>
      <name val="Consolas"/>
    </font>
    <font>
      <b/>
      <sz val="16.0"/>
      <color rgb="FFFFFFFF"/>
      <name val="Consolas"/>
    </font>
    <font/>
    <font>
      <b/>
      <sz val="14.0"/>
      <color rgb="FF000000"/>
      <name val="Consolas"/>
    </font>
    <font>
      <b/>
      <sz val="12.0"/>
      <color theme="1"/>
      <name val="Consolas"/>
    </font>
    <font>
      <sz val="14.0"/>
      <color rgb="FF000000"/>
      <name val="Consolas"/>
    </font>
    <font>
      <sz val="16.0"/>
      <color theme="1"/>
      <name val="Consolas"/>
    </font>
    <font>
      <sz val="16.0"/>
      <color rgb="FFFFFFFF"/>
      <name val="Consolas"/>
    </font>
    <font>
      <color theme="1"/>
      <name val="Consolas"/>
    </font>
    <font>
      <color theme="1"/>
      <name val="Arial"/>
      <scheme val="minor"/>
    </font>
    <font>
      <sz val="16.0"/>
      <color rgb="FF0000FF"/>
      <name val="Consolas"/>
    </font>
    <font>
      <b/>
      <sz val="18.0"/>
      <color theme="1"/>
      <name val="Consolas"/>
    </font>
    <font>
      <b/>
      <sz val="16.0"/>
      <color rgb="FFF3F3F3"/>
      <name val="Consolas"/>
    </font>
    <font>
      <b/>
      <sz val="16.0"/>
      <color theme="1"/>
      <name val="Arial"/>
      <scheme val="minor"/>
    </font>
    <font>
      <sz val="14.0"/>
      <color theme="1"/>
      <name val="Arial"/>
      <scheme val="minor"/>
    </font>
    <font>
      <b/>
      <sz val="11.0"/>
      <color theme="1"/>
      <name val="Consolas"/>
    </font>
    <font>
      <sz val="11.0"/>
      <color theme="1"/>
      <name val="Consolas"/>
    </font>
    <font>
      <strike/>
      <sz val="11.0"/>
      <color theme="1"/>
      <name val="Consolas"/>
    </font>
  </fonts>
  <fills count="1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2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D0CECE"/>
      </top>
    </border>
    <border>
      <left style="thin">
        <color rgb="FFD0CECE"/>
      </left>
      <top style="thin">
        <color rgb="FFD0CECE"/>
      </top>
      <bottom/>
    </border>
    <border>
      <left style="thin">
        <color rgb="FFD0CECE"/>
      </left>
      <right style="thin">
        <color rgb="FFD0CECE"/>
      </right>
      <top style="thin">
        <color rgb="FFD0CECE"/>
      </top>
      <bottom/>
    </border>
    <border>
      <left style="thin">
        <color rgb="FFD0CECE"/>
      </left>
      <top style="thin">
        <color rgb="FFD0CECE"/>
      </top>
    </border>
    <border>
      <left style="thin">
        <color rgb="FFD0CECE"/>
      </left>
      <right style="thin">
        <color rgb="FFD0CECE"/>
      </right>
      <top style="thin">
        <color rgb="FFD0CECE"/>
      </top>
    </border>
    <border>
      <left style="thin">
        <color rgb="FFD0CECE"/>
      </left>
      <top style="thin">
        <color rgb="FFD0CECE"/>
      </top>
      <bottom style="thin">
        <color rgb="FFD0CECE"/>
      </bottom>
    </border>
    <border>
      <top style="thin">
        <color rgb="FFD0CECE"/>
      </top>
      <bottom style="thin">
        <color rgb="FFD0CECE"/>
      </bottom>
    </border>
    <border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top"/>
    </xf>
    <xf borderId="1" fillId="2" fontId="1" numFmtId="49" xfId="0" applyAlignment="1" applyBorder="1" applyFont="1" applyNumberFormat="1">
      <alignment horizontal="center" readingOrder="0" vertical="top"/>
    </xf>
    <xf borderId="1" fillId="2" fontId="1" numFmtId="0" xfId="0" applyAlignment="1" applyBorder="1" applyFont="1">
      <alignment horizontal="center" readingOrder="0" vertical="top"/>
    </xf>
    <xf borderId="0" fillId="2" fontId="1" numFmtId="49" xfId="0" applyAlignment="1" applyFont="1" applyNumberFormat="1">
      <alignment horizontal="center" readingOrder="0" vertical="top"/>
    </xf>
    <xf borderId="0" fillId="0" fontId="2" numFmtId="164" xfId="0" applyAlignment="1" applyFont="1" applyNumberFormat="1">
      <alignment horizontal="center" readingOrder="0" vertical="top"/>
    </xf>
    <xf borderId="0" fillId="0" fontId="2" numFmtId="49" xfId="0" applyAlignment="1" applyFont="1" applyNumberFormat="1">
      <alignment readingOrder="0" vertical="top"/>
    </xf>
    <xf borderId="0" fillId="0" fontId="2" numFmtId="4" xfId="0" applyAlignment="1" applyFont="1" applyNumberFormat="1">
      <alignment readingOrder="0"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vertical="top"/>
    </xf>
    <xf borderId="0" fillId="0" fontId="2" numFmtId="49" xfId="0" applyAlignment="1" applyFont="1" applyNumberFormat="1">
      <alignment horizontal="center"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4" xfId="0" applyAlignment="1" applyBorder="1" applyFont="1" applyNumberFormat="1">
      <alignment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4" xfId="0" applyAlignment="1" applyBorder="1" applyFont="1" applyNumberFormat="1">
      <alignment vertical="top"/>
    </xf>
    <xf borderId="0" fillId="0" fontId="2" numFmtId="4" xfId="0" applyAlignment="1" applyFont="1" applyNumberFormat="1">
      <alignment vertical="top"/>
    </xf>
    <xf borderId="0" fillId="0" fontId="3" numFmtId="49" xfId="0" applyAlignment="1" applyFont="1" applyNumberFormat="1">
      <alignment vertical="top"/>
    </xf>
    <xf borderId="0" fillId="0" fontId="4" numFmtId="49" xfId="0" applyAlignment="1" applyFont="1" applyNumberFormat="1">
      <alignment readingOrder="0" vertical="top"/>
    </xf>
    <xf borderId="0" fillId="0" fontId="2" numFmtId="164" xfId="0" applyAlignment="1" applyFont="1" applyNumberFormat="1">
      <alignment horizontal="center" vertical="top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6" numFmtId="4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7" numFmtId="165" xfId="0" applyAlignment="1" applyFont="1" applyNumberFormat="1">
      <alignment horizontal="center"/>
    </xf>
    <xf borderId="0" fillId="0" fontId="2" numFmtId="0" xfId="0" applyFont="1"/>
    <xf borderId="0" fillId="0" fontId="8" numFmtId="0" xfId="0" applyAlignment="1" applyFont="1">
      <alignment readingOrder="0"/>
    </xf>
    <xf borderId="0" fillId="0" fontId="7" numFmtId="165" xfId="0" applyAlignment="1" applyFont="1" applyNumberFormat="1">
      <alignment horizontal="left" vertical="top"/>
    </xf>
    <xf borderId="0" fillId="0" fontId="7" numFmtId="0" xfId="0" applyAlignment="1" applyFont="1">
      <alignment horizontal="left" readingOrder="0" vertical="top"/>
    </xf>
    <xf borderId="0" fillId="0" fontId="5" numFmtId="165" xfId="0" applyAlignment="1" applyFont="1" applyNumberFormat="1">
      <alignment horizontal="right" readingOrder="0" vertical="top"/>
    </xf>
    <xf borderId="0" fillId="0" fontId="5" numFmtId="165" xfId="0" applyAlignment="1" applyFont="1" applyNumberFormat="1">
      <alignment horizontal="left"/>
    </xf>
    <xf borderId="0" fillId="3" fontId="9" numFmtId="0" xfId="0" applyAlignment="1" applyFill="1" applyFont="1">
      <alignment horizontal="right" readingOrder="0"/>
    </xf>
    <xf borderId="0" fillId="3" fontId="9" numFmtId="165" xfId="0" applyAlignment="1" applyFont="1" applyNumberFormat="1">
      <alignment horizontal="left" readingOrder="0"/>
    </xf>
    <xf borderId="2" fillId="4" fontId="10" numFmtId="0" xfId="0" applyAlignment="1" applyBorder="1" applyFill="1" applyFont="1">
      <alignment horizontal="center" readingOrder="0" textRotation="180" vertical="center"/>
    </xf>
    <xf borderId="0" fillId="5" fontId="11" numFmtId="0" xfId="0" applyAlignment="1" applyFill="1" applyFont="1">
      <alignment horizontal="right" readingOrder="0"/>
    </xf>
    <xf borderId="0" fillId="5" fontId="11" numFmtId="165" xfId="0" applyAlignment="1" applyFont="1" applyNumberFormat="1">
      <alignment horizontal="left" readingOrder="0"/>
    </xf>
    <xf borderId="3" fillId="0" fontId="12" numFmtId="0" xfId="0" applyBorder="1" applyFont="1"/>
    <xf borderId="0" fillId="0" fontId="7" numFmtId="0" xfId="0" applyAlignment="1" applyFont="1">
      <alignment horizontal="right" readingOrder="0" vertical="top"/>
    </xf>
    <xf borderId="4" fillId="0" fontId="12" numFmtId="0" xfId="0" applyBorder="1" applyFont="1"/>
    <xf borderId="2" fillId="4" fontId="13" numFmtId="0" xfId="0" applyAlignment="1" applyBorder="1" applyFont="1">
      <alignment horizontal="center" readingOrder="0" textRotation="180" vertical="bottom"/>
    </xf>
    <xf borderId="0" fillId="0" fontId="14" numFmtId="0" xfId="0" applyAlignment="1" applyFont="1">
      <alignment horizontal="center" readingOrder="0" vertical="center"/>
    </xf>
    <xf borderId="0" fillId="0" fontId="14" numFmtId="0" xfId="0" applyFont="1"/>
    <xf borderId="5" fillId="4" fontId="13" numFmtId="0" xfId="0" applyAlignment="1" applyBorder="1" applyFont="1">
      <alignment horizontal="center" readingOrder="0" textRotation="180" vertical="bottom"/>
    </xf>
    <xf borderId="0" fillId="6" fontId="7" numFmtId="0" xfId="0" applyAlignment="1" applyFill="1" applyFont="1">
      <alignment horizontal="center" vertical="top"/>
    </xf>
    <xf borderId="5" fillId="4" fontId="15" numFmtId="0" xfId="0" applyAlignment="1" applyBorder="1" applyFont="1">
      <alignment vertical="top"/>
    </xf>
    <xf borderId="0" fillId="0" fontId="6" numFmtId="164" xfId="0" applyAlignment="1" applyFont="1" applyNumberFormat="1">
      <alignment horizontal="left" vertical="top"/>
    </xf>
    <xf borderId="0" fillId="0" fontId="6" numFmtId="0" xfId="0" applyAlignment="1" applyFont="1">
      <alignment vertical="top"/>
    </xf>
    <xf borderId="0" fillId="0" fontId="6" numFmtId="4" xfId="0" applyAlignment="1" applyFont="1" applyNumberFormat="1">
      <alignment vertical="top"/>
    </xf>
    <xf borderId="0" fillId="0" fontId="6" numFmtId="0" xfId="0" applyAlignment="1" applyFont="1">
      <alignment horizontal="left" vertical="top"/>
    </xf>
    <xf borderId="5" fillId="4" fontId="6" numFmtId="0" xfId="0" applyAlignment="1" applyBorder="1" applyFont="1">
      <alignment vertical="top"/>
    </xf>
    <xf borderId="0" fillId="0" fontId="2" numFmtId="0" xfId="0" applyAlignment="1" applyFont="1">
      <alignment horizontal="left" vertical="top"/>
    </xf>
    <xf borderId="5" fillId="4" fontId="2" numFmtId="0" xfId="0" applyAlignment="1" applyBorder="1" applyFont="1">
      <alignment vertical="top"/>
    </xf>
    <xf borderId="0" fillId="2" fontId="1" numFmtId="49" xfId="0" applyAlignment="1" applyFont="1" applyNumberFormat="1">
      <alignment horizontal="center" readingOrder="0"/>
    </xf>
    <xf borderId="0" fillId="6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6" fontId="2" numFmtId="0" xfId="0" applyFont="1"/>
    <xf borderId="0" fillId="6" fontId="2" numFmtId="3" xfId="0" applyFont="1" applyNumberFormat="1"/>
    <xf borderId="0" fillId="6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16" numFmtId="0" xfId="0" applyAlignment="1" applyFont="1">
      <alignment vertical="bottom"/>
    </xf>
    <xf borderId="6" fillId="7" fontId="16" numFmtId="4" xfId="0" applyAlignment="1" applyBorder="1" applyFill="1" applyFont="1" applyNumberFormat="1">
      <alignment horizontal="right" readingOrder="0" vertical="bottom"/>
    </xf>
    <xf borderId="0" fillId="0" fontId="16" numFmtId="4" xfId="0" applyAlignment="1" applyFont="1" applyNumberFormat="1">
      <alignment horizontal="right" readingOrder="0" vertical="bottom"/>
    </xf>
    <xf borderId="0" fillId="0" fontId="16" numFmtId="0" xfId="0" applyAlignment="1" applyFont="1">
      <alignment horizontal="right"/>
    </xf>
    <xf borderId="0" fillId="0" fontId="16" numFmtId="0" xfId="0" applyFont="1"/>
    <xf borderId="6" fillId="7" fontId="16" numFmtId="4" xfId="0" applyAlignment="1" applyBorder="1" applyFont="1" applyNumberFormat="1">
      <alignment vertical="bottom"/>
    </xf>
    <xf borderId="0" fillId="0" fontId="16" numFmtId="4" xfId="0" applyAlignment="1" applyFont="1" applyNumberFormat="1">
      <alignment vertical="bottom"/>
    </xf>
    <xf borderId="0" fillId="0" fontId="16" numFmtId="165" xfId="0" applyAlignment="1" applyFont="1" applyNumberFormat="1">
      <alignment horizontal="right" vertical="bottom"/>
    </xf>
    <xf borderId="0" fillId="0" fontId="16" numFmtId="0" xfId="0" applyAlignment="1" applyFont="1">
      <alignment readingOrder="0" vertical="bottom"/>
    </xf>
    <xf borderId="6" fillId="7" fontId="16" numFmtId="4" xfId="0" applyAlignment="1" applyBorder="1" applyFont="1" applyNumberFormat="1">
      <alignment horizontal="right" vertical="bottom"/>
    </xf>
    <xf borderId="0" fillId="0" fontId="16" numFmtId="4" xfId="0" applyAlignment="1" applyFont="1" applyNumberFormat="1">
      <alignment horizontal="right" vertical="bottom"/>
    </xf>
    <xf borderId="6" fillId="7" fontId="16" numFmtId="4" xfId="0" applyAlignment="1" applyBorder="1" applyFont="1" applyNumberFormat="1">
      <alignment readingOrder="0" vertical="bottom"/>
    </xf>
    <xf borderId="0" fillId="0" fontId="16" numFmtId="4" xfId="0" applyAlignment="1" applyFont="1" applyNumberFormat="1">
      <alignment readingOrder="0" vertical="bottom"/>
    </xf>
    <xf borderId="7" fillId="8" fontId="16" numFmtId="0" xfId="0" applyAlignment="1" applyBorder="1" applyFill="1" applyFont="1">
      <alignment vertical="bottom"/>
    </xf>
    <xf borderId="7" fillId="8" fontId="16" numFmtId="4" xfId="0" applyAlignment="1" applyBorder="1" applyFont="1" applyNumberFormat="1">
      <alignment horizontal="right" vertical="bottom"/>
    </xf>
    <xf borderId="0" fillId="0" fontId="16" numFmtId="4" xfId="0" applyFont="1" applyNumberFormat="1"/>
    <xf borderId="7" fillId="2" fontId="11" numFmtId="0" xfId="0" applyAlignment="1" applyBorder="1" applyFont="1">
      <alignment vertical="bottom"/>
    </xf>
    <xf borderId="7" fillId="2" fontId="11" numFmtId="4" xfId="0" applyAlignment="1" applyBorder="1" applyFont="1" applyNumberFormat="1">
      <alignment horizontal="right" vertical="bottom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1"/>
    </xf>
    <xf borderId="7" fillId="2" fontId="17" numFmtId="0" xfId="0" applyAlignment="1" applyBorder="1" applyFont="1">
      <alignment vertical="bottom"/>
    </xf>
    <xf borderId="7" fillId="2" fontId="17" numFmtId="4" xfId="0" applyAlignment="1" applyBorder="1" applyFont="1" applyNumberFormat="1">
      <alignment horizontal="right" vertical="bottom"/>
    </xf>
    <xf borderId="0" fillId="0" fontId="16" numFmtId="3" xfId="0" applyFont="1" applyNumberForma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16" numFmtId="4" xfId="0" applyAlignment="1" applyFont="1" applyNumberFormat="1">
      <alignment readingOrder="0"/>
    </xf>
    <xf borderId="0" fillId="0" fontId="18" numFmtId="0" xfId="0" applyFont="1"/>
    <xf borderId="0" fillId="0" fontId="19" numFmtId="0" xfId="0" applyAlignment="1" applyFont="1">
      <alignment readingOrder="0"/>
    </xf>
    <xf borderId="0" fillId="9" fontId="16" numFmtId="0" xfId="0" applyAlignment="1" applyFill="1" applyFont="1">
      <alignment readingOrder="0"/>
    </xf>
    <xf borderId="0" fillId="9" fontId="16" numFmtId="4" xfId="0" applyAlignment="1" applyFont="1" applyNumberFormat="1">
      <alignment readingOrder="0"/>
    </xf>
    <xf borderId="0" fillId="0" fontId="20" numFmtId="0" xfId="0" applyAlignment="1" applyFont="1">
      <alignment readingOrder="0"/>
    </xf>
    <xf borderId="8" fillId="0" fontId="21" numFmtId="0" xfId="0" applyAlignment="1" applyBorder="1" applyFont="1">
      <alignment horizontal="center" readingOrder="0"/>
    </xf>
    <xf borderId="9" fillId="0" fontId="12" numFmtId="0" xfId="0" applyBorder="1" applyFont="1"/>
    <xf borderId="10" fillId="0" fontId="12" numFmtId="0" xfId="0" applyBorder="1" applyFont="1"/>
    <xf borderId="11" fillId="0" fontId="5" numFmtId="0" xfId="0" applyAlignment="1" applyBorder="1" applyFont="1">
      <alignment horizontal="center" readingOrder="0"/>
    </xf>
    <xf borderId="11" fillId="0" fontId="16" numFmtId="0" xfId="0" applyBorder="1" applyFont="1"/>
    <xf borderId="11" fillId="2" fontId="22" numFmtId="0" xfId="0" applyAlignment="1" applyBorder="1" applyFont="1">
      <alignment horizontal="center" readingOrder="0"/>
    </xf>
    <xf borderId="11" fillId="2" fontId="22" numFmtId="0" xfId="0" applyAlignment="1" applyBorder="1" applyFont="1">
      <alignment horizontal="right"/>
    </xf>
    <xf borderId="11" fillId="2" fontId="17" numFmtId="4" xfId="0" applyAlignment="1" applyBorder="1" applyFont="1" applyNumberFormat="1">
      <alignment horizontal="right" vertical="bottom"/>
    </xf>
    <xf borderId="11" fillId="10" fontId="22" numFmtId="0" xfId="0" applyAlignment="1" applyBorder="1" applyFill="1" applyFont="1">
      <alignment horizontal="right"/>
    </xf>
    <xf borderId="11" fillId="0" fontId="16" numFmtId="0" xfId="0" applyAlignment="1" applyBorder="1" applyFont="1">
      <alignment vertical="bottom"/>
    </xf>
    <xf borderId="11" fillId="0" fontId="16" numFmtId="4" xfId="0" applyAlignment="1" applyBorder="1" applyFont="1" applyNumberFormat="1">
      <alignment horizontal="right" vertical="bottom"/>
    </xf>
    <xf borderId="11" fillId="7" fontId="16" numFmtId="4" xfId="0" applyAlignment="1" applyBorder="1" applyFont="1" applyNumberFormat="1">
      <alignment horizontal="right" vertical="bottom"/>
    </xf>
    <xf borderId="11" fillId="0" fontId="16" numFmtId="4" xfId="0" applyAlignment="1" applyBorder="1" applyFont="1" applyNumberFormat="1">
      <alignment vertical="bottom"/>
    </xf>
    <xf borderId="11" fillId="0" fontId="16" numFmtId="0" xfId="0" applyAlignment="1" applyBorder="1" applyFont="1">
      <alignment readingOrder="0" vertical="bottom"/>
    </xf>
    <xf borderId="12" fillId="0" fontId="16" numFmtId="0" xfId="0" applyAlignment="1" applyBorder="1" applyFont="1">
      <alignment vertical="bottom"/>
    </xf>
    <xf borderId="13" fillId="0" fontId="12" numFmtId="0" xfId="0" applyBorder="1" applyFont="1"/>
    <xf borderId="14" fillId="0" fontId="12" numFmtId="0" xfId="0" applyBorder="1" applyFont="1"/>
    <xf borderId="15" fillId="0" fontId="12" numFmtId="0" xfId="0" applyBorder="1" applyFont="1"/>
    <xf borderId="16" fillId="0" fontId="12" numFmtId="0" xfId="0" applyBorder="1" applyFont="1"/>
    <xf borderId="11" fillId="2" fontId="11" numFmtId="0" xfId="0" applyAlignment="1" applyBorder="1" applyFont="1">
      <alignment horizontal="center" readingOrder="0" vertical="bottom"/>
    </xf>
    <xf borderId="11" fillId="2" fontId="11" numFmtId="4" xfId="0" applyAlignment="1" applyBorder="1" applyFont="1" applyNumberFormat="1">
      <alignment horizontal="right" vertical="bottom"/>
    </xf>
    <xf borderId="11" fillId="2" fontId="11" numFmtId="4" xfId="0" applyAlignment="1" applyBorder="1" applyFont="1" applyNumberFormat="1">
      <alignment horizontal="center" vertical="bottom"/>
    </xf>
    <xf borderId="11" fillId="11" fontId="11" numFmtId="4" xfId="0" applyAlignment="1" applyBorder="1" applyFill="1" applyFont="1" applyNumberFormat="1">
      <alignment horizontal="center" vertical="bottom"/>
    </xf>
    <xf borderId="11" fillId="2" fontId="11" numFmtId="0" xfId="0" applyAlignment="1" applyBorder="1" applyFont="1">
      <alignment horizontal="center" vertical="bottom"/>
    </xf>
    <xf borderId="11" fillId="12" fontId="16" numFmtId="4" xfId="0" applyAlignment="1" applyBorder="1" applyFill="1" applyFont="1" applyNumberFormat="1">
      <alignment vertical="bottom"/>
    </xf>
    <xf borderId="11" fillId="2" fontId="11" numFmtId="0" xfId="0" applyAlignment="1" applyBorder="1" applyFont="1">
      <alignment horizontal="center" readingOrder="0"/>
    </xf>
    <xf borderId="11" fillId="2" fontId="11" numFmtId="4" xfId="0" applyAlignment="1" applyBorder="1" applyFont="1" applyNumberFormat="1">
      <alignment horizontal="right"/>
    </xf>
    <xf borderId="11" fillId="10" fontId="11" numFmtId="4" xfId="0" applyAlignment="1" applyBorder="1" applyFont="1" applyNumberFormat="1">
      <alignment horizontal="center" vertical="bottom"/>
    </xf>
    <xf borderId="11" fillId="2" fontId="11" numFmtId="0" xfId="0" applyAlignment="1" applyBorder="1" applyFont="1">
      <alignment horizontal="center"/>
    </xf>
    <xf borderId="11" fillId="12" fontId="16" numFmtId="4" xfId="0" applyBorder="1" applyFont="1" applyNumberFormat="1"/>
    <xf borderId="8" fillId="13" fontId="16" numFmtId="0" xfId="0" applyAlignment="1" applyBorder="1" applyFill="1" applyFont="1">
      <alignment vertical="bottom"/>
    </xf>
    <xf borderId="11" fillId="2" fontId="11" numFmtId="0" xfId="0" applyAlignment="1" applyBorder="1" applyFont="1">
      <alignment horizontal="right"/>
    </xf>
    <xf borderId="0" fillId="7" fontId="16" numFmtId="4" xfId="0" applyAlignment="1" applyFont="1" applyNumberFormat="1">
      <alignment horizontal="right" vertical="bottom"/>
    </xf>
    <xf borderId="12" fillId="0" fontId="16" numFmtId="0" xfId="0" applyBorder="1" applyFont="1"/>
    <xf borderId="17" fillId="0" fontId="12" numFmtId="0" xfId="0" applyBorder="1" applyFont="1"/>
    <xf borderId="18" fillId="0" fontId="12" numFmtId="0" xfId="0" applyBorder="1" applyFont="1"/>
    <xf borderId="19" fillId="0" fontId="12" numFmtId="0" xfId="0" applyBorder="1" applyFont="1"/>
    <xf borderId="11" fillId="2" fontId="17" numFmtId="0" xfId="0" applyAlignment="1" applyBorder="1" applyFont="1">
      <alignment horizontal="center" readingOrder="0"/>
    </xf>
    <xf borderId="11" fillId="2" fontId="17" numFmtId="4" xfId="0" applyBorder="1" applyFont="1" applyNumberFormat="1"/>
    <xf borderId="11" fillId="10" fontId="17" numFmtId="4" xfId="0" applyBorder="1" applyFont="1" applyNumberFormat="1"/>
    <xf borderId="11" fillId="0" fontId="16" numFmtId="0" xfId="0" applyAlignment="1" applyBorder="1" applyFont="1">
      <alignment readingOrder="0"/>
    </xf>
    <xf borderId="0" fillId="10" fontId="11" numFmtId="0" xfId="0" applyAlignment="1" applyFont="1">
      <alignment horizontal="center" readingOrder="0"/>
    </xf>
    <xf borderId="0" fillId="10" fontId="11" numFmtId="166" xfId="0" applyAlignment="1" applyFont="1" applyNumberFormat="1">
      <alignment horizontal="center" readingOrder="0"/>
    </xf>
    <xf borderId="0" fillId="10" fontId="11" numFmtId="4" xfId="0" applyAlignment="1" applyFont="1" applyNumberFormat="1">
      <alignment horizontal="center" readingOrder="0"/>
    </xf>
    <xf borderId="0" fillId="10" fontId="11" numFmtId="165" xfId="0" applyAlignment="1" applyFont="1" applyNumberFormat="1">
      <alignment horizontal="center" readingOrder="0"/>
    </xf>
    <xf borderId="0" fillId="0" fontId="16" numFmtId="166" xfId="0" applyAlignment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6" numFmtId="4" xfId="0" applyAlignment="1" applyFont="1" applyNumberFormat="1">
      <alignment horizontal="right" readingOrder="0"/>
    </xf>
    <xf borderId="0" fillId="0" fontId="16" numFmtId="165" xfId="0" applyAlignment="1" applyFont="1" applyNumberFormat="1">
      <alignment horizontal="right" readingOrder="0"/>
    </xf>
    <xf borderId="0" fillId="0" fontId="16" numFmtId="0" xfId="0" applyAlignment="1" applyFont="1">
      <alignment horizontal="right" readingOrder="0"/>
    </xf>
    <xf borderId="0" fillId="0" fontId="16" numFmtId="165" xfId="0" applyAlignment="1" applyFont="1" applyNumberFormat="1">
      <alignment horizontal="right"/>
    </xf>
    <xf borderId="0" fillId="0" fontId="16" numFmtId="4" xfId="0" applyAlignment="1" applyFont="1" applyNumberFormat="1">
      <alignment horizontal="right"/>
    </xf>
    <xf borderId="20" fillId="0" fontId="16" numFmtId="0" xfId="0" applyAlignment="1" applyBorder="1" applyFont="1">
      <alignment readingOrder="0" vertical="bottom"/>
    </xf>
    <xf borderId="6" fillId="0" fontId="16" numFmtId="167" xfId="0" applyAlignment="1" applyBorder="1" applyFont="1" applyNumberFormat="1">
      <alignment horizontal="center" readingOrder="0"/>
    </xf>
    <xf borderId="20" fillId="0" fontId="16" numFmtId="0" xfId="0" applyAlignment="1" applyBorder="1" applyFont="1">
      <alignment horizontal="center" readingOrder="0"/>
    </xf>
    <xf borderId="20" fillId="0" fontId="16" numFmtId="4" xfId="0" applyAlignment="1" applyBorder="1" applyFont="1" applyNumberFormat="1">
      <alignment horizontal="right" vertical="bottom"/>
    </xf>
    <xf borderId="20" fillId="0" fontId="16" numFmtId="4" xfId="0" applyAlignment="1" applyBorder="1" applyFont="1" applyNumberFormat="1">
      <alignment horizontal="right" readingOrder="0" vertical="bottom"/>
    </xf>
    <xf borderId="20" fillId="0" fontId="16" numFmtId="4" xfId="0" applyAlignment="1" applyBorder="1" applyFont="1" applyNumberFormat="1">
      <alignment readingOrder="0" vertical="bottom"/>
    </xf>
    <xf borderId="20" fillId="0" fontId="16" numFmtId="4" xfId="0" applyAlignment="1" applyBorder="1" applyFont="1" applyNumberFormat="1">
      <alignment vertical="bottom"/>
    </xf>
    <xf borderId="20" fillId="0" fontId="16" numFmtId="0" xfId="0" applyAlignment="1" applyBorder="1" applyFont="1">
      <alignment vertical="bottom"/>
    </xf>
    <xf borderId="6" fillId="0" fontId="16" numFmtId="167" xfId="0" applyAlignment="1" applyBorder="1" applyFont="1" applyNumberFormat="1">
      <alignment horizontal="center"/>
    </xf>
    <xf borderId="0" fillId="0" fontId="16" numFmtId="166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21" fillId="10" fontId="11" numFmtId="0" xfId="0" applyAlignment="1" applyBorder="1" applyFont="1">
      <alignment horizontal="center" readingOrder="0"/>
    </xf>
    <xf borderId="22" fillId="10" fontId="11" numFmtId="166" xfId="0" applyAlignment="1" applyBorder="1" applyFont="1" applyNumberFormat="1">
      <alignment horizontal="center"/>
    </xf>
    <xf borderId="22" fillId="10" fontId="11" numFmtId="0" xfId="0" applyAlignment="1" applyBorder="1" applyFont="1">
      <alignment horizontal="center"/>
    </xf>
    <xf borderId="22" fillId="10" fontId="11" numFmtId="4" xfId="0" applyAlignment="1" applyBorder="1" applyFont="1" applyNumberFormat="1">
      <alignment horizontal="center"/>
    </xf>
    <xf borderId="23" fillId="0" fontId="16" numFmtId="0" xfId="0" applyAlignment="1" applyBorder="1" applyFont="1">
      <alignment readingOrder="0" vertical="bottom"/>
    </xf>
    <xf borderId="24" fillId="0" fontId="16" numFmtId="166" xfId="0" applyAlignment="1" applyBorder="1" applyFont="1" applyNumberFormat="1">
      <alignment horizontal="center" readingOrder="0" vertical="bottom"/>
    </xf>
    <xf borderId="0" fillId="0" fontId="19" numFmtId="0" xfId="0" applyFont="1"/>
    <xf borderId="25" fillId="0" fontId="16" numFmtId="0" xfId="0" applyAlignment="1" applyBorder="1" applyFont="1">
      <alignment readingOrder="0" vertical="bottom"/>
    </xf>
    <xf borderId="6" fillId="0" fontId="16" numFmtId="166" xfId="0" applyAlignment="1" applyBorder="1" applyFont="1" applyNumberForma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25" fillId="0" fontId="16" numFmtId="0" xfId="0" applyAlignment="1" applyBorder="1" applyFont="1">
      <alignment vertical="bottom"/>
    </xf>
    <xf borderId="6" fillId="0" fontId="16" numFmtId="166" xfId="0" applyAlignment="1" applyBorder="1" applyFont="1" applyNumberFormat="1">
      <alignment horizontal="center" vertical="bottom"/>
    </xf>
    <xf borderId="6" fillId="0" fontId="16" numFmtId="0" xfId="0" applyAlignment="1" applyBorder="1" applyFont="1">
      <alignment horizontal="center" readingOrder="0" vertical="bottom"/>
    </xf>
    <xf borderId="6" fillId="0" fontId="16" numFmtId="4" xfId="0" applyAlignment="1" applyBorder="1" applyFont="1" applyNumberFormat="1">
      <alignment horizontal="right" vertical="bottom"/>
    </xf>
    <xf borderId="26" fillId="0" fontId="16" numFmtId="0" xfId="0" applyAlignment="1" applyBorder="1" applyFont="1">
      <alignment readingOrder="0" vertical="bottom"/>
    </xf>
    <xf borderId="27" fillId="0" fontId="16" numFmtId="0" xfId="0" applyAlignment="1" applyBorder="1" applyFont="1">
      <alignment readingOrder="0" vertical="bottom"/>
    </xf>
    <xf borderId="26" fillId="0" fontId="16" numFmtId="0" xfId="0" applyAlignment="1" applyBorder="1" applyFont="1">
      <alignment vertical="bottom"/>
    </xf>
    <xf borderId="27" fillId="0" fontId="16" numFmtId="0" xfId="0" applyAlignment="1" applyBorder="1" applyFont="1">
      <alignment vertical="bottom"/>
    </xf>
    <xf borderId="0" fillId="10" fontId="1" numFmtId="166" xfId="0" applyAlignment="1" applyFont="1" applyNumberFormat="1">
      <alignment horizontal="center" vertical="top"/>
    </xf>
    <xf borderId="0" fillId="10" fontId="1" numFmtId="0" xfId="0" applyAlignment="1" applyFont="1">
      <alignment horizontal="center" vertical="bottom"/>
    </xf>
    <xf borderId="0" fillId="10" fontId="6" numFmtId="0" xfId="0" applyAlignment="1" applyFont="1">
      <alignment horizontal="center" vertical="bottom"/>
    </xf>
    <xf borderId="0" fillId="0" fontId="6" numFmtId="0" xfId="0" applyFont="1"/>
    <xf borderId="0" fillId="0" fontId="6" numFmtId="166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horizontal="center"/>
    </xf>
    <xf borderId="0" fillId="14" fontId="23" numFmtId="0" xfId="0" applyAlignment="1" applyFill="1" applyFont="1">
      <alignment horizontal="center" readingOrder="0"/>
    </xf>
    <xf borderId="0" fillId="0" fontId="24" numFmtId="0" xfId="0" applyFont="1"/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24" numFmtId="168" xfId="0" applyAlignment="1" applyFont="1" applyNumberFormat="1">
      <alignment horizontal="center" readingOrder="0"/>
    </xf>
    <xf borderId="0" fillId="0" fontId="24" numFmtId="4" xfId="0" applyAlignment="1" applyFont="1" applyNumberFormat="1">
      <alignment horizontal="right" readingOrder="0"/>
    </xf>
    <xf borderId="0" fillId="0" fontId="24" numFmtId="4" xfId="0" applyAlignment="1" applyFont="1" applyNumberFormat="1">
      <alignment readingOrder="0"/>
    </xf>
    <xf borderId="0" fillId="0" fontId="24" numFmtId="4" xfId="0" applyFont="1" applyNumberFormat="1"/>
    <xf borderId="0" fillId="15" fontId="24" numFmtId="4" xfId="0" applyFill="1" applyFont="1" applyNumberFormat="1"/>
    <xf borderId="0" fillId="16" fontId="24" numFmtId="168" xfId="0" applyAlignment="1" applyFill="1" applyFont="1" applyNumberFormat="1">
      <alignment horizontal="center" readingOrder="0"/>
    </xf>
    <xf borderId="0" fillId="16" fontId="24" numFmtId="4" xfId="0" applyAlignment="1" applyFont="1" applyNumberFormat="1">
      <alignment horizontal="right" readingOrder="0"/>
    </xf>
    <xf borderId="0" fillId="0" fontId="24" numFmtId="168" xfId="0" applyAlignment="1" applyFont="1" applyNumberFormat="1">
      <alignment horizontal="center"/>
    </xf>
    <xf borderId="0" fillId="0" fontId="24" numFmtId="4" xfId="0" applyAlignment="1" applyFont="1" applyNumberFormat="1">
      <alignment horizontal="right"/>
    </xf>
    <xf borderId="28" fillId="0" fontId="25" numFmtId="0" xfId="0" applyAlignment="1" applyBorder="1" applyFont="1">
      <alignment horizontal="center" readingOrder="0" vertical="top"/>
    </xf>
    <xf borderId="28" fillId="0" fontId="25" numFmtId="49" xfId="0" applyAlignment="1" applyBorder="1" applyFont="1" applyNumberFormat="1">
      <alignment horizontal="center" readingOrder="0" vertical="top"/>
    </xf>
    <xf borderId="0" fillId="17" fontId="25" numFmtId="49" xfId="0" applyAlignment="1" applyFill="1" applyFont="1" applyNumberFormat="1">
      <alignment horizontal="center" readingOrder="0" vertical="top"/>
    </xf>
    <xf borderId="0" fillId="0" fontId="26" numFmtId="49" xfId="0" applyAlignment="1" applyFont="1" applyNumberFormat="1">
      <alignment readingOrder="0" vertical="top"/>
    </xf>
    <xf borderId="0" fillId="0" fontId="26" numFmtId="49" xfId="0" applyAlignment="1" applyFont="1" applyNumberFormat="1">
      <alignment vertical="top"/>
    </xf>
    <xf borderId="0" fillId="0" fontId="26" numFmtId="0" xfId="0" applyAlignment="1" applyFont="1">
      <alignment readingOrder="0" vertical="top"/>
    </xf>
    <xf borderId="0" fillId="17" fontId="26" numFmtId="0" xfId="0" applyAlignment="1" applyFont="1">
      <alignment readingOrder="0" vertical="top"/>
    </xf>
    <xf borderId="0" fillId="6" fontId="26" numFmtId="0" xfId="0" applyAlignment="1" applyFont="1">
      <alignment readingOrder="0" vertical="top"/>
    </xf>
    <xf borderId="0" fillId="6" fontId="26" numFmtId="49" xfId="0" applyAlignment="1" applyFont="1" applyNumberFormat="1">
      <alignment readingOrder="0" vertical="top"/>
    </xf>
    <xf borderId="0" fillId="12" fontId="26" numFmtId="0" xfId="0" applyAlignment="1" applyFont="1">
      <alignment readingOrder="0" vertical="top"/>
    </xf>
    <xf borderId="0" fillId="0" fontId="26" numFmtId="0" xfId="0" applyAlignment="1" applyFont="1">
      <alignment vertical="top"/>
    </xf>
    <xf borderId="0" fillId="0" fontId="19" numFmtId="0" xfId="0" applyAlignment="1" applyFont="1">
      <alignment vertical="top"/>
    </xf>
    <xf borderId="0" fillId="17" fontId="18" numFmtId="0" xfId="0" applyAlignment="1" applyFont="1">
      <alignment readingOrder="0" vertical="top"/>
    </xf>
    <xf borderId="0" fillId="17" fontId="18" numFmtId="0" xfId="0" applyAlignment="1" applyFont="1">
      <alignment vertical="top"/>
    </xf>
    <xf borderId="0" fillId="12" fontId="26" numFmtId="49" xfId="0" applyAlignment="1" applyFont="1" applyNumberFormat="1">
      <alignment readingOrder="0" vertical="top"/>
    </xf>
    <xf borderId="0" fillId="17" fontId="26" numFmtId="0" xfId="0" applyAlignment="1" applyFont="1">
      <alignment vertical="top"/>
    </xf>
    <xf borderId="0" fillId="0" fontId="27" numFmtId="0" xfId="0" applyAlignment="1" applyFont="1">
      <alignment vertical="top"/>
    </xf>
    <xf borderId="28" fillId="0" fontId="14" numFmtId="0" xfId="0" applyAlignment="1" applyBorder="1" applyFont="1">
      <alignment horizontal="center" vertical="top"/>
    </xf>
    <xf borderId="28" fillId="0" fontId="14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center" readingOrder="0" vertical="top"/>
    </xf>
    <xf borderId="0" fillId="0" fontId="2" numFmtId="4" xfId="0" applyAlignment="1" applyFont="1" applyNumberFormat="1">
      <alignment horizontal="right" readingOrder="0" vertical="top"/>
    </xf>
    <xf borderId="0" fillId="0" fontId="2" numFmtId="4" xfId="0" applyAlignment="1" applyFont="1" applyNumberFormat="1">
      <alignment horizontal="left" readingOrder="0" vertical="bottom"/>
    </xf>
    <xf borderId="0" fillId="0" fontId="2" numFmtId="4" xfId="0" applyAlignment="1" applyFont="1" applyNumberFormat="1">
      <alignment horizontal="right" vertical="top"/>
    </xf>
    <xf borderId="0" fillId="0" fontId="2" numFmtId="4" xfId="0" applyAlignment="1" applyFont="1" applyNumberFormat="1">
      <alignment horizontal="left" vertical="bottom"/>
    </xf>
    <xf borderId="0" fillId="0" fontId="2" numFmtId="0" xfId="0" applyAlignment="1" applyFont="1">
      <alignment horizontal="left"/>
    </xf>
    <xf borderId="0" fillId="0" fontId="25" numFmtId="0" xfId="0" applyAlignment="1" applyFont="1">
      <alignment readingOrder="0" shrinkToFit="0" wrapText="0"/>
    </xf>
    <xf borderId="0" fillId="0" fontId="26" numFmtId="0" xfId="0" applyAlignment="1" applyFont="1">
      <alignment readingOrder="0"/>
    </xf>
    <xf borderId="0" fillId="0" fontId="26" numFmtId="49" xfId="0" applyAlignment="1" applyFont="1" applyNumberFormat="1">
      <alignment readingOrder="0" vertical="bottom"/>
    </xf>
    <xf borderId="0" fillId="0" fontId="26" numFmtId="49" xfId="0" applyAlignment="1" applyFont="1" applyNumberFormat="1">
      <alignment vertical="bottom"/>
    </xf>
    <xf borderId="0" fillId="0" fontId="26" numFmtId="0" xfId="0" applyAlignment="1" applyFont="1">
      <alignment readingOrder="0" shrinkToFit="0" wrapText="0"/>
    </xf>
    <xf borderId="0" fillId="0" fontId="26" numFmtId="0" xfId="0" applyAlignment="1" applyFont="1">
      <alignment vertical="bottom"/>
    </xf>
    <xf borderId="0" fillId="6" fontId="26" numFmtId="0" xfId="0" applyAlignment="1" applyFont="1">
      <alignment readingOrder="0" shrinkToFit="0" wrapText="0"/>
    </xf>
    <xf borderId="0" fillId="6" fontId="26" numFmtId="0" xfId="0" applyAlignment="1" applyFont="1">
      <alignment readingOrder="0"/>
    </xf>
    <xf borderId="0" fillId="0" fontId="26" numFmtId="0" xfId="0" applyFont="1"/>
    <xf borderId="0" fillId="6" fontId="14" numFmtId="49" xfId="0" applyAlignment="1" applyFont="1" applyNumberFormat="1">
      <alignment horizontal="center" readingOrder="0" vertical="top"/>
    </xf>
    <xf borderId="0" fillId="17" fontId="14" numFmtId="49" xfId="0" applyAlignment="1" applyFont="1" applyNumberFormat="1">
      <alignment horizontal="center" readingOrder="0" vertical="top"/>
    </xf>
    <xf borderId="0" fillId="0" fontId="2" numFmtId="49" xfId="0" applyAlignment="1" applyFont="1" applyNumberFormat="1">
      <alignment horizontal="center" readingOrder="0"/>
    </xf>
    <xf borderId="0" fillId="17" fontId="2" numFmtId="49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right" readingOrder="0"/>
    </xf>
    <xf borderId="0" fillId="0" fontId="2" numFmtId="49" xfId="0" applyAlignment="1" applyFont="1" applyNumberFormat="1">
      <alignment horizontal="center"/>
    </xf>
    <xf borderId="0" fillId="17" fontId="2" numFmtId="49" xfId="0" applyAlignment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2" numFmtId="49" xfId="0" applyAlignment="1" applyFont="1" applyNumberFormat="1">
      <alignment horizontal="right"/>
    </xf>
    <xf borderId="0" fillId="17" fontId="2" numFmtId="0" xfId="0" applyFont="1"/>
    <xf borderId="0" fillId="0" fontId="2" numFmtId="4" xfId="0" applyAlignment="1" applyFont="1" applyNumberFormat="1">
      <alignment horizontal="righ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F8F2E0"/>
          <bgColor rgb="FFF8F2E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6AA84F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/>
      <fill>
        <patternFill patternType="solid">
          <fgColor rgb="FFDEEAF6"/>
          <bgColor rgb="FFDEEAF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238125</xdr:rowOff>
    </xdr:from>
    <xdr:ext cx="19011900" cy="3952875"/>
    <xdr:pic>
      <xdr:nvPicPr>
        <xdr:cNvPr id="27373554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25</xdr:row>
      <xdr:rowOff>180975</xdr:rowOff>
    </xdr:from>
    <xdr:ext cx="5715000" cy="3533775"/>
    <xdr:pic>
      <xdr:nvPicPr>
        <xdr:cNvPr id="130194270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819150</xdr:colOff>
      <xdr:row>25</xdr:row>
      <xdr:rowOff>180975</xdr:rowOff>
    </xdr:from>
    <xdr:ext cx="5715000" cy="3533775"/>
    <xdr:pic>
      <xdr:nvPicPr>
        <xdr:cNvPr id="121839922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%E0%B8%9E%E0%B8%B4%E0%B8%A9%E0%B8%93%E0%B8%B8%E0%B9%82%E0%B8%A5%E0%B8%81/data=!4m2!3m1!19sChIJoej0TmB43zARkEsIsFT7BA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1.75"/>
    <col customWidth="1" min="3" max="3" width="26.88"/>
    <col customWidth="1" min="4" max="4" width="20.5"/>
    <col customWidth="1" min="5" max="5" width="21.5"/>
    <col customWidth="1" min="6" max="6" width="25.88"/>
    <col customWidth="1" min="7" max="7" width="21.88"/>
    <col customWidth="1" min="8" max="8" width="61.75"/>
    <col customWidth="1" min="9" max="10" width="11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hidden="1">
      <c r="A2" s="5">
        <v>45678.0</v>
      </c>
      <c r="B2" s="6" t="s">
        <v>10</v>
      </c>
      <c r="C2" s="6" t="s">
        <v>11</v>
      </c>
      <c r="D2" s="7">
        <v>4732.46</v>
      </c>
      <c r="E2" s="6" t="s">
        <v>12</v>
      </c>
      <c r="F2" s="6"/>
      <c r="G2" s="8"/>
      <c r="H2" s="9"/>
      <c r="I2" s="10" t="str">
        <f t="shared" ref="I2:I999" si="1">IF(A2&lt;&gt;"", "_"&amp;YEAR(A2)&amp;"_", "")</f>
        <v>_2025_</v>
      </c>
      <c r="J2" s="10" t="str">
        <f t="shared" ref="J2:J999" si="2">IF(A2&lt;&gt;"", "_"&amp;MONTH(A2)&amp;"_", "")</f>
        <v>_1_</v>
      </c>
    </row>
    <row r="3" hidden="1">
      <c r="A3" s="5">
        <v>45681.0</v>
      </c>
      <c r="B3" s="6" t="s">
        <v>10</v>
      </c>
      <c r="C3" s="6" t="s">
        <v>11</v>
      </c>
      <c r="D3" s="7">
        <v>4344.1</v>
      </c>
      <c r="E3" s="6" t="s">
        <v>12</v>
      </c>
      <c r="F3" s="11"/>
      <c r="G3" s="8"/>
      <c r="H3" s="9"/>
      <c r="I3" s="10" t="str">
        <f t="shared" si="1"/>
        <v>_2025_</v>
      </c>
      <c r="J3" s="10" t="str">
        <f t="shared" si="2"/>
        <v>_1_</v>
      </c>
    </row>
    <row r="4" hidden="1">
      <c r="A4" s="5">
        <v>45697.0</v>
      </c>
      <c r="B4" s="6" t="s">
        <v>10</v>
      </c>
      <c r="C4" s="6" t="s">
        <v>11</v>
      </c>
      <c r="D4" s="7">
        <v>10000.0</v>
      </c>
      <c r="E4" s="6" t="s">
        <v>12</v>
      </c>
      <c r="F4" s="11"/>
      <c r="G4" s="8"/>
      <c r="H4" s="9"/>
      <c r="I4" s="10" t="str">
        <f t="shared" si="1"/>
        <v>_2025_</v>
      </c>
      <c r="J4" s="10" t="str">
        <f t="shared" si="2"/>
        <v>_2_</v>
      </c>
    </row>
    <row r="5" hidden="1">
      <c r="A5" s="5">
        <v>45702.0</v>
      </c>
      <c r="B5" s="6" t="s">
        <v>10</v>
      </c>
      <c r="C5" s="6" t="s">
        <v>11</v>
      </c>
      <c r="D5" s="7">
        <v>2200.0</v>
      </c>
      <c r="E5" s="6" t="s">
        <v>12</v>
      </c>
      <c r="F5" s="11"/>
      <c r="G5" s="8"/>
      <c r="H5" s="9"/>
      <c r="I5" s="10" t="str">
        <f t="shared" si="1"/>
        <v>_2025_</v>
      </c>
      <c r="J5" s="10" t="str">
        <f t="shared" si="2"/>
        <v>_2_</v>
      </c>
    </row>
    <row r="6" hidden="1">
      <c r="A6" s="5">
        <v>45713.0</v>
      </c>
      <c r="B6" s="6" t="s">
        <v>10</v>
      </c>
      <c r="C6" s="6" t="s">
        <v>11</v>
      </c>
      <c r="D6" s="7">
        <v>4500.0</v>
      </c>
      <c r="E6" s="6" t="s">
        <v>12</v>
      </c>
      <c r="F6" s="11"/>
      <c r="G6" s="8"/>
      <c r="H6" s="9"/>
      <c r="I6" s="10" t="str">
        <f t="shared" si="1"/>
        <v>_2025_</v>
      </c>
      <c r="J6" s="10" t="str">
        <f t="shared" si="2"/>
        <v>_2_</v>
      </c>
    </row>
    <row r="7" hidden="1">
      <c r="A7" s="5">
        <v>45734.0</v>
      </c>
      <c r="B7" s="6" t="s">
        <v>10</v>
      </c>
      <c r="C7" s="6" t="s">
        <v>11</v>
      </c>
      <c r="D7" s="7">
        <v>3000.0</v>
      </c>
      <c r="E7" s="6" t="s">
        <v>12</v>
      </c>
      <c r="F7" s="11"/>
      <c r="G7" s="8"/>
      <c r="H7" s="9"/>
      <c r="I7" s="10" t="str">
        <f t="shared" si="1"/>
        <v>_2025_</v>
      </c>
      <c r="J7" s="10" t="str">
        <f t="shared" si="2"/>
        <v>_3_</v>
      </c>
    </row>
    <row r="8" hidden="1">
      <c r="A8" s="5">
        <v>45734.0</v>
      </c>
      <c r="B8" s="6" t="s">
        <v>10</v>
      </c>
      <c r="C8" s="6" t="s">
        <v>13</v>
      </c>
      <c r="D8" s="7">
        <v>2000.0</v>
      </c>
      <c r="E8" s="6" t="s">
        <v>12</v>
      </c>
      <c r="F8" s="11"/>
      <c r="G8" s="12"/>
      <c r="H8" s="13" t="s">
        <v>14</v>
      </c>
      <c r="I8" s="10" t="str">
        <f t="shared" si="1"/>
        <v>_2025_</v>
      </c>
      <c r="J8" s="10" t="str">
        <f t="shared" si="2"/>
        <v>_3_</v>
      </c>
    </row>
    <row r="9" hidden="1">
      <c r="A9" s="5">
        <v>45738.0</v>
      </c>
      <c r="B9" s="6" t="s">
        <v>15</v>
      </c>
      <c r="C9" s="6" t="s">
        <v>16</v>
      </c>
      <c r="D9" s="14">
        <v>650.0</v>
      </c>
      <c r="E9" s="6" t="s">
        <v>17</v>
      </c>
      <c r="F9" s="6" t="s">
        <v>18</v>
      </c>
      <c r="G9" s="12" t="s">
        <v>19</v>
      </c>
      <c r="H9" s="13"/>
      <c r="I9" s="10" t="str">
        <f t="shared" si="1"/>
        <v>_2025_</v>
      </c>
      <c r="J9" s="10" t="str">
        <f t="shared" si="2"/>
        <v>_3_</v>
      </c>
    </row>
    <row r="10" hidden="1">
      <c r="A10" s="5">
        <v>45738.0</v>
      </c>
      <c r="B10" s="6" t="s">
        <v>20</v>
      </c>
      <c r="C10" s="6" t="s">
        <v>21</v>
      </c>
      <c r="D10" s="14">
        <v>89.0</v>
      </c>
      <c r="E10" s="6" t="s">
        <v>17</v>
      </c>
      <c r="F10" s="6" t="s">
        <v>18</v>
      </c>
      <c r="G10" s="12"/>
      <c r="H10" s="13" t="s">
        <v>22</v>
      </c>
      <c r="I10" s="10" t="str">
        <f t="shared" si="1"/>
        <v>_2025_</v>
      </c>
      <c r="J10" s="10" t="str">
        <f t="shared" si="2"/>
        <v>_3_</v>
      </c>
    </row>
    <row r="11" hidden="1">
      <c r="A11" s="15">
        <v>45741.0</v>
      </c>
      <c r="B11" s="6" t="s">
        <v>23</v>
      </c>
      <c r="C11" s="6" t="s">
        <v>24</v>
      </c>
      <c r="D11" s="14">
        <v>41044.86</v>
      </c>
      <c r="E11" s="6" t="s">
        <v>12</v>
      </c>
      <c r="F11" s="6"/>
      <c r="G11" s="12"/>
      <c r="H11" s="13"/>
      <c r="I11" s="10" t="str">
        <f t="shared" si="1"/>
        <v>_2025_</v>
      </c>
      <c r="J11" s="10" t="str">
        <f t="shared" si="2"/>
        <v>_3_</v>
      </c>
    </row>
    <row r="12" hidden="1">
      <c r="A12" s="15">
        <v>45741.0</v>
      </c>
      <c r="B12" s="6" t="s">
        <v>10</v>
      </c>
      <c r="C12" s="6" t="s">
        <v>11</v>
      </c>
      <c r="D12" s="14">
        <v>500.0</v>
      </c>
      <c r="E12" s="6" t="s">
        <v>12</v>
      </c>
      <c r="F12" s="11"/>
      <c r="G12" s="8"/>
      <c r="H12" s="9"/>
      <c r="I12" s="10" t="str">
        <f t="shared" si="1"/>
        <v>_2025_</v>
      </c>
      <c r="J12" s="10" t="str">
        <f t="shared" si="2"/>
        <v>_3_</v>
      </c>
    </row>
    <row r="13" hidden="1">
      <c r="A13" s="15">
        <v>45741.0</v>
      </c>
      <c r="B13" s="6" t="s">
        <v>10</v>
      </c>
      <c r="C13" s="6" t="s">
        <v>11</v>
      </c>
      <c r="D13" s="14">
        <v>5500.0</v>
      </c>
      <c r="E13" s="6" t="s">
        <v>12</v>
      </c>
      <c r="F13" s="11"/>
      <c r="G13" s="8"/>
      <c r="H13" s="9"/>
      <c r="I13" s="10" t="str">
        <f t="shared" si="1"/>
        <v>_2025_</v>
      </c>
      <c r="J13" s="10" t="str">
        <f t="shared" si="2"/>
        <v>_3_</v>
      </c>
    </row>
    <row r="14" hidden="1">
      <c r="A14" s="15">
        <v>45743.0</v>
      </c>
      <c r="B14" s="6" t="s">
        <v>20</v>
      </c>
      <c r="C14" s="6" t="s">
        <v>25</v>
      </c>
      <c r="D14" s="14">
        <v>200.0</v>
      </c>
      <c r="E14" s="6" t="s">
        <v>17</v>
      </c>
      <c r="F14" s="6" t="s">
        <v>18</v>
      </c>
      <c r="G14" s="12" t="s">
        <v>26</v>
      </c>
      <c r="H14" s="9"/>
      <c r="I14" s="10" t="str">
        <f t="shared" si="1"/>
        <v>_2025_</v>
      </c>
      <c r="J14" s="10" t="str">
        <f t="shared" si="2"/>
        <v>_3_</v>
      </c>
    </row>
    <row r="15" hidden="1">
      <c r="A15" s="15">
        <v>45743.0</v>
      </c>
      <c r="B15" s="6" t="s">
        <v>27</v>
      </c>
      <c r="C15" s="6" t="s">
        <v>28</v>
      </c>
      <c r="D15" s="14">
        <v>146.0</v>
      </c>
      <c r="E15" s="6" t="s">
        <v>17</v>
      </c>
      <c r="F15" s="6" t="s">
        <v>18</v>
      </c>
      <c r="G15" s="12"/>
      <c r="H15" s="13" t="s">
        <v>29</v>
      </c>
      <c r="I15" s="10" t="str">
        <f t="shared" si="1"/>
        <v>_2025_</v>
      </c>
      <c r="J15" s="10" t="str">
        <f t="shared" si="2"/>
        <v>_3_</v>
      </c>
    </row>
    <row r="16" hidden="1">
      <c r="A16" s="15">
        <v>45744.0</v>
      </c>
      <c r="B16" s="6" t="s">
        <v>20</v>
      </c>
      <c r="C16" s="6" t="s">
        <v>25</v>
      </c>
      <c r="D16" s="14">
        <v>159.0</v>
      </c>
      <c r="E16" s="6" t="s">
        <v>17</v>
      </c>
      <c r="F16" s="6" t="s">
        <v>18</v>
      </c>
      <c r="G16" s="12" t="s">
        <v>30</v>
      </c>
      <c r="H16" s="9"/>
      <c r="I16" s="10" t="str">
        <f t="shared" si="1"/>
        <v>_2025_</v>
      </c>
      <c r="J16" s="10" t="str">
        <f t="shared" si="2"/>
        <v>_3_</v>
      </c>
    </row>
    <row r="17" hidden="1">
      <c r="A17" s="15">
        <v>45745.0</v>
      </c>
      <c r="B17" s="6" t="s">
        <v>20</v>
      </c>
      <c r="C17" s="6" t="s">
        <v>31</v>
      </c>
      <c r="D17" s="14">
        <v>134.0</v>
      </c>
      <c r="E17" s="6" t="s">
        <v>17</v>
      </c>
      <c r="F17" s="6" t="s">
        <v>18</v>
      </c>
      <c r="G17" s="8"/>
      <c r="H17" s="9"/>
      <c r="I17" s="10" t="str">
        <f t="shared" si="1"/>
        <v>_2025_</v>
      </c>
      <c r="J17" s="10" t="str">
        <f t="shared" si="2"/>
        <v>_3_</v>
      </c>
    </row>
    <row r="18" hidden="1">
      <c r="A18" s="15">
        <v>45746.0</v>
      </c>
      <c r="B18" s="6" t="s">
        <v>20</v>
      </c>
      <c r="C18" s="6" t="s">
        <v>32</v>
      </c>
      <c r="D18" s="14">
        <v>50.0</v>
      </c>
      <c r="E18" s="6" t="s">
        <v>17</v>
      </c>
      <c r="F18" s="6" t="s">
        <v>18</v>
      </c>
      <c r="G18" s="12" t="s">
        <v>33</v>
      </c>
      <c r="H18" s="13" t="s">
        <v>34</v>
      </c>
      <c r="I18" s="10" t="str">
        <f t="shared" si="1"/>
        <v>_2025_</v>
      </c>
      <c r="J18" s="10" t="str">
        <f t="shared" si="2"/>
        <v>_3_</v>
      </c>
    </row>
    <row r="19" hidden="1">
      <c r="A19" s="15">
        <v>45752.0</v>
      </c>
      <c r="B19" s="13" t="s">
        <v>20</v>
      </c>
      <c r="C19" s="13" t="s">
        <v>35</v>
      </c>
      <c r="D19" s="14">
        <v>153.25</v>
      </c>
      <c r="E19" s="13" t="s">
        <v>17</v>
      </c>
      <c r="F19" s="6" t="s">
        <v>18</v>
      </c>
      <c r="G19" s="12" t="s">
        <v>36</v>
      </c>
      <c r="H19" s="13" t="s">
        <v>37</v>
      </c>
      <c r="I19" s="10" t="str">
        <f t="shared" si="1"/>
        <v>_2025_</v>
      </c>
      <c r="J19" s="10" t="str">
        <f t="shared" si="2"/>
        <v>_4_</v>
      </c>
    </row>
    <row r="20" hidden="1">
      <c r="A20" s="15">
        <v>45753.0</v>
      </c>
      <c r="B20" s="13" t="s">
        <v>20</v>
      </c>
      <c r="C20" s="13" t="s">
        <v>35</v>
      </c>
      <c r="D20" s="14">
        <v>347.25</v>
      </c>
      <c r="E20" s="13" t="s">
        <v>17</v>
      </c>
      <c r="F20" s="6" t="s">
        <v>18</v>
      </c>
      <c r="G20" s="12" t="s">
        <v>36</v>
      </c>
      <c r="H20" s="13" t="s">
        <v>38</v>
      </c>
      <c r="I20" s="10" t="str">
        <f t="shared" si="1"/>
        <v>_2025_</v>
      </c>
      <c r="J20" s="10" t="str">
        <f t="shared" si="2"/>
        <v>_4_</v>
      </c>
    </row>
    <row r="21" hidden="1">
      <c r="A21" s="15">
        <v>45753.0</v>
      </c>
      <c r="B21" s="13" t="s">
        <v>39</v>
      </c>
      <c r="C21" s="13" t="s">
        <v>40</v>
      </c>
      <c r="D21" s="14">
        <v>150.0</v>
      </c>
      <c r="E21" s="13" t="s">
        <v>12</v>
      </c>
      <c r="F21" s="11"/>
      <c r="G21" s="12"/>
      <c r="H21" s="13" t="s">
        <v>41</v>
      </c>
      <c r="I21" s="10" t="str">
        <f t="shared" si="1"/>
        <v>_2025_</v>
      </c>
      <c r="J21" s="10" t="str">
        <f t="shared" si="2"/>
        <v>_4_</v>
      </c>
    </row>
    <row r="22" hidden="1">
      <c r="A22" s="15">
        <v>45754.0</v>
      </c>
      <c r="B22" s="13" t="s">
        <v>42</v>
      </c>
      <c r="C22" s="13" t="s">
        <v>43</v>
      </c>
      <c r="D22" s="14">
        <v>19.0</v>
      </c>
      <c r="E22" s="13" t="s">
        <v>12</v>
      </c>
      <c r="F22" s="11"/>
      <c r="G22" s="12"/>
      <c r="H22" s="13" t="s">
        <v>44</v>
      </c>
      <c r="I22" s="10" t="str">
        <f t="shared" si="1"/>
        <v>_2025_</v>
      </c>
      <c r="J22" s="10" t="str">
        <f t="shared" si="2"/>
        <v>_4_</v>
      </c>
    </row>
    <row r="23" hidden="1">
      <c r="A23" s="15">
        <v>45754.0</v>
      </c>
      <c r="B23" s="13" t="s">
        <v>20</v>
      </c>
      <c r="C23" s="13" t="s">
        <v>35</v>
      </c>
      <c r="D23" s="14">
        <v>110.75</v>
      </c>
      <c r="E23" s="13" t="s">
        <v>17</v>
      </c>
      <c r="F23" s="6" t="s">
        <v>18</v>
      </c>
      <c r="G23" s="12" t="s">
        <v>36</v>
      </c>
      <c r="H23" s="13" t="s">
        <v>45</v>
      </c>
      <c r="I23" s="10" t="str">
        <f t="shared" si="1"/>
        <v>_2025_</v>
      </c>
      <c r="J23" s="10" t="str">
        <f t="shared" si="2"/>
        <v>_4_</v>
      </c>
    </row>
    <row r="24" hidden="1">
      <c r="A24" s="15">
        <v>45755.0</v>
      </c>
      <c r="B24" s="13" t="s">
        <v>42</v>
      </c>
      <c r="C24" s="13" t="s">
        <v>46</v>
      </c>
      <c r="D24" s="14">
        <v>120.0</v>
      </c>
      <c r="E24" s="13" t="s">
        <v>12</v>
      </c>
      <c r="F24" s="11"/>
      <c r="G24" s="8"/>
      <c r="H24" s="9"/>
      <c r="I24" s="10" t="str">
        <f t="shared" si="1"/>
        <v>_2025_</v>
      </c>
      <c r="J24" s="10" t="str">
        <f t="shared" si="2"/>
        <v>_4_</v>
      </c>
    </row>
    <row r="25" hidden="1">
      <c r="A25" s="15">
        <v>45755.0</v>
      </c>
      <c r="B25" s="13" t="s">
        <v>20</v>
      </c>
      <c r="C25" s="13" t="s">
        <v>31</v>
      </c>
      <c r="D25" s="14">
        <v>124.5</v>
      </c>
      <c r="E25" s="13" t="s">
        <v>12</v>
      </c>
      <c r="F25" s="11"/>
      <c r="G25" s="12" t="s">
        <v>47</v>
      </c>
      <c r="H25" s="13" t="s">
        <v>48</v>
      </c>
      <c r="I25" s="10" t="str">
        <f t="shared" si="1"/>
        <v>_2025_</v>
      </c>
      <c r="J25" s="10" t="str">
        <f t="shared" si="2"/>
        <v>_4_</v>
      </c>
    </row>
    <row r="26" hidden="1">
      <c r="A26" s="15">
        <v>45755.0</v>
      </c>
      <c r="B26" s="13" t="s">
        <v>20</v>
      </c>
      <c r="C26" s="13" t="s">
        <v>31</v>
      </c>
      <c r="D26" s="14">
        <v>40.0</v>
      </c>
      <c r="E26" s="13" t="s">
        <v>12</v>
      </c>
      <c r="F26" s="11"/>
      <c r="G26" s="12"/>
      <c r="H26" s="13" t="s">
        <v>49</v>
      </c>
      <c r="I26" s="10" t="str">
        <f t="shared" si="1"/>
        <v>_2025_</v>
      </c>
      <c r="J26" s="10" t="str">
        <f t="shared" si="2"/>
        <v>_4_</v>
      </c>
    </row>
    <row r="27" hidden="1">
      <c r="A27" s="15">
        <v>45757.0</v>
      </c>
      <c r="B27" s="13" t="s">
        <v>20</v>
      </c>
      <c r="C27" s="13" t="s">
        <v>21</v>
      </c>
      <c r="D27" s="14">
        <v>55.0</v>
      </c>
      <c r="E27" s="13" t="s">
        <v>12</v>
      </c>
      <c r="F27" s="11"/>
      <c r="G27" s="12" t="s">
        <v>47</v>
      </c>
      <c r="H27" s="9"/>
      <c r="I27" s="10" t="str">
        <f t="shared" si="1"/>
        <v>_2025_</v>
      </c>
      <c r="J27" s="10" t="str">
        <f t="shared" si="2"/>
        <v>_4_</v>
      </c>
    </row>
    <row r="28" hidden="1">
      <c r="A28" s="15">
        <v>45757.0</v>
      </c>
      <c r="B28" s="13" t="s">
        <v>20</v>
      </c>
      <c r="C28" s="13" t="s">
        <v>21</v>
      </c>
      <c r="D28" s="14">
        <v>127.0</v>
      </c>
      <c r="E28" s="13" t="s">
        <v>12</v>
      </c>
      <c r="F28" s="11"/>
      <c r="G28" s="12" t="s">
        <v>47</v>
      </c>
      <c r="H28" s="13" t="s">
        <v>50</v>
      </c>
      <c r="I28" s="10" t="str">
        <f t="shared" si="1"/>
        <v>_2025_</v>
      </c>
      <c r="J28" s="10" t="str">
        <f t="shared" si="2"/>
        <v>_4_</v>
      </c>
    </row>
    <row r="29" hidden="1">
      <c r="A29" s="15">
        <v>45758.0</v>
      </c>
      <c r="B29" s="13" t="s">
        <v>20</v>
      </c>
      <c r="C29" s="13" t="s">
        <v>21</v>
      </c>
      <c r="D29" s="14">
        <v>152.0</v>
      </c>
      <c r="E29" s="13" t="s">
        <v>12</v>
      </c>
      <c r="F29" s="11"/>
      <c r="G29" s="12" t="s">
        <v>47</v>
      </c>
      <c r="H29" s="9"/>
      <c r="I29" s="10" t="str">
        <f t="shared" si="1"/>
        <v>_2025_</v>
      </c>
      <c r="J29" s="10" t="str">
        <f t="shared" si="2"/>
        <v>_4_</v>
      </c>
    </row>
    <row r="30" hidden="1">
      <c r="A30" s="15">
        <v>45758.0</v>
      </c>
      <c r="B30" s="13" t="s">
        <v>15</v>
      </c>
      <c r="C30" s="13" t="s">
        <v>16</v>
      </c>
      <c r="D30" s="14">
        <v>1100.1</v>
      </c>
      <c r="E30" s="13" t="s">
        <v>51</v>
      </c>
      <c r="F30" s="6" t="s">
        <v>18</v>
      </c>
      <c r="G30" s="12" t="s">
        <v>19</v>
      </c>
      <c r="H30" s="13" t="s">
        <v>52</v>
      </c>
      <c r="I30" s="10" t="str">
        <f t="shared" si="1"/>
        <v>_2025_</v>
      </c>
      <c r="J30" s="10" t="str">
        <f t="shared" si="2"/>
        <v>_4_</v>
      </c>
    </row>
    <row r="31" hidden="1">
      <c r="A31" s="15">
        <v>45759.0</v>
      </c>
      <c r="B31" s="13" t="s">
        <v>20</v>
      </c>
      <c r="C31" s="13" t="s">
        <v>25</v>
      </c>
      <c r="D31" s="14">
        <v>27.0</v>
      </c>
      <c r="E31" s="13" t="s">
        <v>12</v>
      </c>
      <c r="F31" s="11"/>
      <c r="G31" s="12" t="s">
        <v>47</v>
      </c>
      <c r="H31" s="13" t="s">
        <v>53</v>
      </c>
      <c r="I31" s="10" t="str">
        <f t="shared" si="1"/>
        <v>_2025_</v>
      </c>
      <c r="J31" s="10" t="str">
        <f t="shared" si="2"/>
        <v>_4_</v>
      </c>
    </row>
    <row r="32" hidden="1">
      <c r="A32" s="15">
        <v>45759.0</v>
      </c>
      <c r="B32" s="13" t="s">
        <v>20</v>
      </c>
      <c r="C32" s="13" t="s">
        <v>35</v>
      </c>
      <c r="D32" s="14">
        <v>55.0</v>
      </c>
      <c r="E32" s="13" t="s">
        <v>12</v>
      </c>
      <c r="F32" s="11"/>
      <c r="G32" s="12"/>
      <c r="H32" s="13" t="s">
        <v>45</v>
      </c>
      <c r="I32" s="10" t="str">
        <f t="shared" si="1"/>
        <v>_2025_</v>
      </c>
      <c r="J32" s="10" t="str">
        <f t="shared" si="2"/>
        <v>_4_</v>
      </c>
    </row>
    <row r="33" hidden="1">
      <c r="A33" s="15">
        <v>45759.0</v>
      </c>
      <c r="B33" s="13" t="s">
        <v>20</v>
      </c>
      <c r="C33" s="13" t="s">
        <v>31</v>
      </c>
      <c r="D33" s="14">
        <v>160.0</v>
      </c>
      <c r="E33" s="13" t="s">
        <v>12</v>
      </c>
      <c r="F33" s="11"/>
      <c r="G33" s="12"/>
      <c r="H33" s="13" t="s">
        <v>54</v>
      </c>
      <c r="I33" s="10" t="str">
        <f t="shared" si="1"/>
        <v>_2025_</v>
      </c>
      <c r="J33" s="10" t="str">
        <f t="shared" si="2"/>
        <v>_4_</v>
      </c>
    </row>
    <row r="34" hidden="1">
      <c r="A34" s="15">
        <v>45759.0</v>
      </c>
      <c r="B34" s="13" t="s">
        <v>20</v>
      </c>
      <c r="C34" s="13" t="s">
        <v>32</v>
      </c>
      <c r="D34" s="14">
        <v>50.0</v>
      </c>
      <c r="E34" s="13" t="s">
        <v>55</v>
      </c>
      <c r="F34" s="6" t="s">
        <v>18</v>
      </c>
      <c r="G34" s="12" t="s">
        <v>33</v>
      </c>
      <c r="H34" s="13" t="s">
        <v>34</v>
      </c>
      <c r="I34" s="10" t="str">
        <f t="shared" si="1"/>
        <v>_2025_</v>
      </c>
      <c r="J34" s="10" t="str">
        <f t="shared" si="2"/>
        <v>_4_</v>
      </c>
    </row>
    <row r="35" hidden="1">
      <c r="A35" s="15">
        <v>45759.0</v>
      </c>
      <c r="B35" s="13" t="s">
        <v>20</v>
      </c>
      <c r="C35" s="13" t="s">
        <v>31</v>
      </c>
      <c r="D35" s="14">
        <v>70.0</v>
      </c>
      <c r="E35" s="13" t="s">
        <v>55</v>
      </c>
      <c r="F35" s="6" t="s">
        <v>18</v>
      </c>
      <c r="G35" s="8"/>
      <c r="H35" s="9"/>
      <c r="I35" s="10" t="str">
        <f t="shared" si="1"/>
        <v>_2025_</v>
      </c>
      <c r="J35" s="10" t="str">
        <f t="shared" si="2"/>
        <v>_4_</v>
      </c>
    </row>
    <row r="36" hidden="1">
      <c r="A36" s="15">
        <v>45759.0</v>
      </c>
      <c r="B36" s="13" t="s">
        <v>21</v>
      </c>
      <c r="C36" s="13" t="s">
        <v>56</v>
      </c>
      <c r="D36" s="14">
        <f>1150.5-800</f>
        <v>350.5</v>
      </c>
      <c r="E36" s="13" t="s">
        <v>55</v>
      </c>
      <c r="F36" s="6" t="s">
        <v>18</v>
      </c>
      <c r="G36" s="12"/>
      <c r="H36" s="13" t="s">
        <v>57</v>
      </c>
      <c r="I36" s="10" t="str">
        <f t="shared" si="1"/>
        <v>_2025_</v>
      </c>
      <c r="J36" s="10" t="str">
        <f t="shared" si="2"/>
        <v>_4_</v>
      </c>
    </row>
    <row r="37" hidden="1">
      <c r="A37" s="15">
        <v>45759.0</v>
      </c>
      <c r="B37" s="13" t="s">
        <v>58</v>
      </c>
      <c r="C37" s="13" t="s">
        <v>58</v>
      </c>
      <c r="D37" s="14">
        <f>600+275.25</f>
        <v>875.25</v>
      </c>
      <c r="E37" s="13" t="s">
        <v>55</v>
      </c>
      <c r="F37" s="6" t="s">
        <v>18</v>
      </c>
      <c r="G37" s="12"/>
      <c r="H37" s="13" t="s">
        <v>59</v>
      </c>
      <c r="I37" s="10" t="str">
        <f t="shared" si="1"/>
        <v>_2025_</v>
      </c>
      <c r="J37" s="10" t="str">
        <f t="shared" si="2"/>
        <v>_4_</v>
      </c>
    </row>
    <row r="38" hidden="1">
      <c r="A38" s="15">
        <v>45760.0</v>
      </c>
      <c r="B38" s="13" t="s">
        <v>20</v>
      </c>
      <c r="C38" s="13" t="s">
        <v>25</v>
      </c>
      <c r="D38" s="14">
        <v>236.0</v>
      </c>
      <c r="E38" s="13" t="s">
        <v>55</v>
      </c>
      <c r="F38" s="6" t="s">
        <v>18</v>
      </c>
      <c r="G38" s="12" t="s">
        <v>30</v>
      </c>
      <c r="H38" s="9"/>
      <c r="I38" s="10" t="str">
        <f t="shared" si="1"/>
        <v>_2025_</v>
      </c>
      <c r="J38" s="10" t="str">
        <f t="shared" si="2"/>
        <v>_4_</v>
      </c>
    </row>
    <row r="39" hidden="1">
      <c r="A39" s="15">
        <v>45760.0</v>
      </c>
      <c r="B39" s="13" t="s">
        <v>20</v>
      </c>
      <c r="C39" s="13" t="s">
        <v>31</v>
      </c>
      <c r="D39" s="14">
        <v>138.0</v>
      </c>
      <c r="E39" s="13" t="s">
        <v>55</v>
      </c>
      <c r="F39" s="6" t="s">
        <v>18</v>
      </c>
      <c r="G39" s="12" t="s">
        <v>36</v>
      </c>
      <c r="H39" s="13" t="s">
        <v>60</v>
      </c>
      <c r="I39" s="10" t="str">
        <f t="shared" si="1"/>
        <v>_2025_</v>
      </c>
      <c r="J39" s="10" t="str">
        <f t="shared" si="2"/>
        <v>_4_</v>
      </c>
    </row>
    <row r="40" hidden="1">
      <c r="A40" s="15">
        <v>45760.0</v>
      </c>
      <c r="B40" s="13" t="s">
        <v>20</v>
      </c>
      <c r="C40" s="13" t="s">
        <v>25</v>
      </c>
      <c r="D40" s="14">
        <v>139.0</v>
      </c>
      <c r="E40" s="13" t="s">
        <v>55</v>
      </c>
      <c r="F40" s="6" t="s">
        <v>18</v>
      </c>
      <c r="G40" s="12" t="s">
        <v>30</v>
      </c>
      <c r="H40" s="9"/>
      <c r="I40" s="10" t="str">
        <f t="shared" si="1"/>
        <v>_2025_</v>
      </c>
      <c r="J40" s="10" t="str">
        <f t="shared" si="2"/>
        <v>_4_</v>
      </c>
    </row>
    <row r="41" hidden="1">
      <c r="A41" s="15">
        <v>45760.0</v>
      </c>
      <c r="B41" s="13" t="s">
        <v>20</v>
      </c>
      <c r="C41" s="13" t="s">
        <v>32</v>
      </c>
      <c r="D41" s="14">
        <v>35.0</v>
      </c>
      <c r="E41" s="13" t="s">
        <v>12</v>
      </c>
      <c r="F41" s="11"/>
      <c r="G41" s="12"/>
      <c r="H41" s="13" t="s">
        <v>61</v>
      </c>
      <c r="I41" s="10" t="str">
        <f t="shared" si="1"/>
        <v>_2025_</v>
      </c>
      <c r="J41" s="10" t="str">
        <f t="shared" si="2"/>
        <v>_4_</v>
      </c>
    </row>
    <row r="42" hidden="1">
      <c r="A42" s="15">
        <v>45760.0</v>
      </c>
      <c r="B42" s="13" t="s">
        <v>62</v>
      </c>
      <c r="C42" s="13" t="s">
        <v>63</v>
      </c>
      <c r="D42" s="14">
        <v>3197.22</v>
      </c>
      <c r="E42" s="13" t="s">
        <v>12</v>
      </c>
      <c r="F42" s="11"/>
      <c r="G42" s="12"/>
      <c r="H42" s="13" t="s">
        <v>64</v>
      </c>
      <c r="I42" s="10" t="str">
        <f t="shared" si="1"/>
        <v>_2025_</v>
      </c>
      <c r="J42" s="10" t="str">
        <f t="shared" si="2"/>
        <v>_4_</v>
      </c>
    </row>
    <row r="43" hidden="1">
      <c r="A43" s="15">
        <v>45761.0</v>
      </c>
      <c r="B43" s="13" t="s">
        <v>20</v>
      </c>
      <c r="C43" s="13" t="s">
        <v>65</v>
      </c>
      <c r="D43" s="14">
        <v>195.0</v>
      </c>
      <c r="E43" s="13" t="s">
        <v>12</v>
      </c>
      <c r="F43" s="11"/>
      <c r="G43" s="12"/>
      <c r="H43" s="13" t="s">
        <v>66</v>
      </c>
      <c r="I43" s="10" t="str">
        <f t="shared" si="1"/>
        <v>_2025_</v>
      </c>
      <c r="J43" s="10" t="str">
        <f t="shared" si="2"/>
        <v>_4_</v>
      </c>
    </row>
    <row r="44" hidden="1">
      <c r="A44" s="15">
        <v>45761.0</v>
      </c>
      <c r="B44" s="13" t="s">
        <v>21</v>
      </c>
      <c r="C44" s="13" t="s">
        <v>56</v>
      </c>
      <c r="D44" s="14">
        <v>1023.13</v>
      </c>
      <c r="E44" s="13" t="s">
        <v>17</v>
      </c>
      <c r="F44" s="6" t="s">
        <v>18</v>
      </c>
      <c r="G44" s="12"/>
      <c r="H44" s="13" t="s">
        <v>67</v>
      </c>
      <c r="I44" s="10" t="str">
        <f t="shared" si="1"/>
        <v>_2025_</v>
      </c>
      <c r="J44" s="10" t="str">
        <f t="shared" si="2"/>
        <v>_4_</v>
      </c>
    </row>
    <row r="45" hidden="1">
      <c r="A45" s="15">
        <v>45761.0</v>
      </c>
      <c r="B45" s="13" t="s">
        <v>58</v>
      </c>
      <c r="C45" s="13" t="s">
        <v>58</v>
      </c>
      <c r="D45" s="14">
        <f>822.12-75.25</f>
        <v>746.87</v>
      </c>
      <c r="E45" s="13" t="s">
        <v>17</v>
      </c>
      <c r="F45" s="6" t="s">
        <v>18</v>
      </c>
      <c r="G45" s="12"/>
      <c r="H45" s="13" t="s">
        <v>68</v>
      </c>
      <c r="I45" s="10" t="str">
        <f t="shared" si="1"/>
        <v>_2025_</v>
      </c>
      <c r="J45" s="10" t="str">
        <f t="shared" si="2"/>
        <v>_4_</v>
      </c>
    </row>
    <row r="46" hidden="1">
      <c r="A46" s="15">
        <v>45761.0</v>
      </c>
      <c r="B46" s="13" t="s">
        <v>20</v>
      </c>
      <c r="C46" s="13" t="s">
        <v>65</v>
      </c>
      <c r="D46" s="14">
        <v>183.0</v>
      </c>
      <c r="E46" s="13" t="s">
        <v>55</v>
      </c>
      <c r="F46" s="6" t="s">
        <v>18</v>
      </c>
      <c r="G46" s="12"/>
      <c r="H46" s="13" t="s">
        <v>69</v>
      </c>
      <c r="I46" s="10" t="str">
        <f t="shared" si="1"/>
        <v>_2025_</v>
      </c>
      <c r="J46" s="10" t="str">
        <f t="shared" si="2"/>
        <v>_4_</v>
      </c>
    </row>
    <row r="47" hidden="1">
      <c r="A47" s="15">
        <v>45762.0</v>
      </c>
      <c r="B47" s="13" t="s">
        <v>21</v>
      </c>
      <c r="C47" s="13" t="s">
        <v>56</v>
      </c>
      <c r="D47" s="14">
        <v>1000.0</v>
      </c>
      <c r="E47" s="13" t="s">
        <v>12</v>
      </c>
      <c r="F47" s="11"/>
      <c r="G47" s="12"/>
      <c r="H47" s="13" t="s">
        <v>70</v>
      </c>
      <c r="I47" s="10" t="str">
        <f t="shared" si="1"/>
        <v>_2025_</v>
      </c>
      <c r="J47" s="10" t="str">
        <f t="shared" si="2"/>
        <v>_4_</v>
      </c>
    </row>
    <row r="48" hidden="1">
      <c r="A48" s="15">
        <v>45762.0</v>
      </c>
      <c r="B48" s="13" t="s">
        <v>20</v>
      </c>
      <c r="C48" s="13" t="s">
        <v>31</v>
      </c>
      <c r="D48" s="14">
        <v>165.0</v>
      </c>
      <c r="E48" s="13" t="s">
        <v>12</v>
      </c>
      <c r="F48" s="11"/>
      <c r="G48" s="12" t="s">
        <v>47</v>
      </c>
      <c r="H48" s="13" t="s">
        <v>71</v>
      </c>
      <c r="I48" s="10" t="str">
        <f t="shared" si="1"/>
        <v>_2025_</v>
      </c>
      <c r="J48" s="10" t="str">
        <f t="shared" si="2"/>
        <v>_4_</v>
      </c>
    </row>
    <row r="49" hidden="1">
      <c r="A49" s="15">
        <v>45762.0</v>
      </c>
      <c r="B49" s="13" t="s">
        <v>21</v>
      </c>
      <c r="C49" s="13" t="s">
        <v>56</v>
      </c>
      <c r="D49" s="14">
        <v>834.25</v>
      </c>
      <c r="E49" s="13" t="s">
        <v>55</v>
      </c>
      <c r="F49" s="6" t="s">
        <v>18</v>
      </c>
      <c r="G49" s="12"/>
      <c r="H49" s="13" t="s">
        <v>72</v>
      </c>
      <c r="I49" s="10" t="str">
        <f t="shared" si="1"/>
        <v>_2025_</v>
      </c>
      <c r="J49" s="10" t="str">
        <f t="shared" si="2"/>
        <v>_4_</v>
      </c>
    </row>
    <row r="50" hidden="1">
      <c r="A50" s="15">
        <v>45762.0</v>
      </c>
      <c r="B50" s="13" t="s">
        <v>15</v>
      </c>
      <c r="C50" s="13" t="s">
        <v>16</v>
      </c>
      <c r="D50" s="14">
        <v>620.0</v>
      </c>
      <c r="E50" s="13" t="s">
        <v>17</v>
      </c>
      <c r="F50" s="6" t="s">
        <v>18</v>
      </c>
      <c r="G50" s="12" t="s">
        <v>19</v>
      </c>
      <c r="H50" s="13" t="s">
        <v>73</v>
      </c>
      <c r="I50" s="10" t="str">
        <f t="shared" si="1"/>
        <v>_2025_</v>
      </c>
      <c r="J50" s="10" t="str">
        <f t="shared" si="2"/>
        <v>_4_</v>
      </c>
    </row>
    <row r="51" hidden="1">
      <c r="A51" s="15">
        <v>45763.0</v>
      </c>
      <c r="B51" s="13" t="s">
        <v>20</v>
      </c>
      <c r="C51" s="13" t="s">
        <v>31</v>
      </c>
      <c r="D51" s="14">
        <v>22.0</v>
      </c>
      <c r="E51" s="13" t="s">
        <v>12</v>
      </c>
      <c r="F51" s="11"/>
      <c r="G51" s="12" t="s">
        <v>47</v>
      </c>
      <c r="H51" s="13" t="s">
        <v>74</v>
      </c>
      <c r="I51" s="10" t="str">
        <f t="shared" si="1"/>
        <v>_2025_</v>
      </c>
      <c r="J51" s="10" t="str">
        <f t="shared" si="2"/>
        <v>_4_</v>
      </c>
    </row>
    <row r="52" hidden="1">
      <c r="A52" s="15">
        <v>45763.0</v>
      </c>
      <c r="B52" s="13" t="s">
        <v>15</v>
      </c>
      <c r="C52" s="13" t="s">
        <v>75</v>
      </c>
      <c r="D52" s="14">
        <v>100.0</v>
      </c>
      <c r="E52" s="13" t="s">
        <v>12</v>
      </c>
      <c r="F52" s="11"/>
      <c r="G52" s="8"/>
      <c r="H52" s="9"/>
      <c r="I52" s="10" t="str">
        <f t="shared" si="1"/>
        <v>_2025_</v>
      </c>
      <c r="J52" s="10" t="str">
        <f t="shared" si="2"/>
        <v>_4_</v>
      </c>
    </row>
    <row r="53" hidden="1">
      <c r="A53" s="15">
        <v>45763.0</v>
      </c>
      <c r="B53" s="13" t="s">
        <v>15</v>
      </c>
      <c r="C53" s="13" t="s">
        <v>16</v>
      </c>
      <c r="D53" s="14">
        <v>650.0</v>
      </c>
      <c r="E53" s="13" t="s">
        <v>17</v>
      </c>
      <c r="F53" s="6" t="s">
        <v>18</v>
      </c>
      <c r="G53" s="12" t="s">
        <v>19</v>
      </c>
      <c r="H53" s="13" t="s">
        <v>73</v>
      </c>
      <c r="I53" s="10" t="str">
        <f t="shared" si="1"/>
        <v>_2025_</v>
      </c>
      <c r="J53" s="10" t="str">
        <f t="shared" si="2"/>
        <v>_4_</v>
      </c>
    </row>
    <row r="54" hidden="1">
      <c r="A54" s="15">
        <v>45763.0</v>
      </c>
      <c r="B54" s="13" t="s">
        <v>20</v>
      </c>
      <c r="C54" s="13" t="s">
        <v>25</v>
      </c>
      <c r="D54" s="14">
        <v>209.0</v>
      </c>
      <c r="E54" s="13" t="s">
        <v>55</v>
      </c>
      <c r="F54" s="6" t="s">
        <v>18</v>
      </c>
      <c r="G54" s="12" t="s">
        <v>76</v>
      </c>
      <c r="H54" s="9"/>
      <c r="I54" s="10" t="str">
        <f t="shared" si="1"/>
        <v>_2025_</v>
      </c>
      <c r="J54" s="10" t="str">
        <f t="shared" si="2"/>
        <v>_4_</v>
      </c>
    </row>
    <row r="55" hidden="1">
      <c r="A55" s="15">
        <v>45763.0</v>
      </c>
      <c r="B55" s="13" t="s">
        <v>15</v>
      </c>
      <c r="C55" s="13" t="s">
        <v>16</v>
      </c>
      <c r="D55" s="14">
        <v>843.6</v>
      </c>
      <c r="E55" s="13" t="s">
        <v>17</v>
      </c>
      <c r="F55" s="6" t="s">
        <v>18</v>
      </c>
      <c r="G55" s="12" t="s">
        <v>77</v>
      </c>
      <c r="H55" s="9"/>
      <c r="I55" s="10" t="str">
        <f t="shared" si="1"/>
        <v>_2025_</v>
      </c>
      <c r="J55" s="10" t="str">
        <f t="shared" si="2"/>
        <v>_4_</v>
      </c>
    </row>
    <row r="56" hidden="1">
      <c r="A56" s="15">
        <v>45763.0</v>
      </c>
      <c r="B56" s="13" t="s">
        <v>20</v>
      </c>
      <c r="C56" s="13" t="s">
        <v>31</v>
      </c>
      <c r="D56" s="14">
        <v>166.0</v>
      </c>
      <c r="E56" s="13" t="s">
        <v>55</v>
      </c>
      <c r="F56" s="6" t="s">
        <v>18</v>
      </c>
      <c r="G56" s="12" t="s">
        <v>36</v>
      </c>
      <c r="H56" s="13" t="s">
        <v>78</v>
      </c>
      <c r="I56" s="10" t="str">
        <f t="shared" si="1"/>
        <v>_2025_</v>
      </c>
      <c r="J56" s="10" t="str">
        <f t="shared" si="2"/>
        <v>_4_</v>
      </c>
    </row>
    <row r="57" hidden="1">
      <c r="A57" s="15">
        <v>45764.0</v>
      </c>
      <c r="B57" s="13" t="s">
        <v>39</v>
      </c>
      <c r="C57" s="13" t="s">
        <v>40</v>
      </c>
      <c r="D57" s="14">
        <v>60.0</v>
      </c>
      <c r="E57" s="13" t="s">
        <v>12</v>
      </c>
      <c r="F57" s="11"/>
      <c r="G57" s="12"/>
      <c r="H57" s="13" t="s">
        <v>79</v>
      </c>
      <c r="I57" s="10" t="str">
        <f t="shared" si="1"/>
        <v>_2025_</v>
      </c>
      <c r="J57" s="10" t="str">
        <f t="shared" si="2"/>
        <v>_4_</v>
      </c>
    </row>
    <row r="58" hidden="1">
      <c r="A58" s="15">
        <v>45764.0</v>
      </c>
      <c r="B58" s="13" t="s">
        <v>20</v>
      </c>
      <c r="C58" s="13" t="s">
        <v>31</v>
      </c>
      <c r="D58" s="14">
        <v>25.0</v>
      </c>
      <c r="E58" s="13" t="s">
        <v>12</v>
      </c>
      <c r="F58" s="11"/>
      <c r="G58" s="12" t="s">
        <v>47</v>
      </c>
      <c r="H58" s="13" t="s">
        <v>80</v>
      </c>
      <c r="I58" s="10" t="str">
        <f t="shared" si="1"/>
        <v>_2025_</v>
      </c>
      <c r="J58" s="10" t="str">
        <f t="shared" si="2"/>
        <v>_4_</v>
      </c>
    </row>
    <row r="59" hidden="1">
      <c r="A59" s="15">
        <v>45764.0</v>
      </c>
      <c r="B59" s="13" t="s">
        <v>20</v>
      </c>
      <c r="C59" s="13" t="s">
        <v>35</v>
      </c>
      <c r="D59" s="14">
        <v>940.5</v>
      </c>
      <c r="E59" s="13" t="s">
        <v>55</v>
      </c>
      <c r="F59" s="6" t="s">
        <v>18</v>
      </c>
      <c r="G59" s="12" t="s">
        <v>36</v>
      </c>
      <c r="H59" s="13" t="s">
        <v>81</v>
      </c>
      <c r="I59" s="10" t="str">
        <f t="shared" si="1"/>
        <v>_2025_</v>
      </c>
      <c r="J59" s="10" t="str">
        <f t="shared" si="2"/>
        <v>_4_</v>
      </c>
    </row>
    <row r="60" hidden="1">
      <c r="A60" s="15">
        <v>45766.0</v>
      </c>
      <c r="B60" s="13" t="s">
        <v>20</v>
      </c>
      <c r="C60" s="13" t="s">
        <v>25</v>
      </c>
      <c r="D60" s="14">
        <v>75.0</v>
      </c>
      <c r="E60" s="13" t="s">
        <v>12</v>
      </c>
      <c r="F60" s="11"/>
      <c r="G60" s="12" t="s">
        <v>82</v>
      </c>
      <c r="H60" s="9"/>
      <c r="I60" s="10" t="str">
        <f t="shared" si="1"/>
        <v>_2025_</v>
      </c>
      <c r="J60" s="10" t="str">
        <f t="shared" si="2"/>
        <v>_4_</v>
      </c>
    </row>
    <row r="61" hidden="1">
      <c r="A61" s="15">
        <v>45767.0</v>
      </c>
      <c r="B61" s="13" t="s">
        <v>62</v>
      </c>
      <c r="C61" s="13" t="s">
        <v>83</v>
      </c>
      <c r="D61" s="14">
        <v>561.0</v>
      </c>
      <c r="E61" s="13" t="s">
        <v>17</v>
      </c>
      <c r="F61" s="6" t="s">
        <v>18</v>
      </c>
      <c r="G61" s="12" t="s">
        <v>84</v>
      </c>
      <c r="H61" s="13" t="s">
        <v>85</v>
      </c>
      <c r="I61" s="10" t="str">
        <f t="shared" si="1"/>
        <v>_2025_</v>
      </c>
      <c r="J61" s="10" t="str">
        <f t="shared" si="2"/>
        <v>_4_</v>
      </c>
    </row>
    <row r="62" hidden="1">
      <c r="A62" s="15">
        <v>45768.0</v>
      </c>
      <c r="B62" s="13" t="s">
        <v>62</v>
      </c>
      <c r="C62" s="13" t="s">
        <v>86</v>
      </c>
      <c r="D62" s="14">
        <v>165.58</v>
      </c>
      <c r="E62" s="13" t="s">
        <v>12</v>
      </c>
      <c r="F62" s="11"/>
      <c r="G62" s="12"/>
      <c r="H62" s="9"/>
      <c r="I62" s="10" t="str">
        <f t="shared" si="1"/>
        <v>_2025_</v>
      </c>
      <c r="J62" s="10" t="str">
        <f t="shared" si="2"/>
        <v>_4_</v>
      </c>
    </row>
    <row r="63" hidden="1">
      <c r="A63" s="15">
        <v>45768.0</v>
      </c>
      <c r="B63" s="13" t="s">
        <v>20</v>
      </c>
      <c r="C63" s="13" t="s">
        <v>25</v>
      </c>
      <c r="D63" s="14">
        <v>159.0</v>
      </c>
      <c r="E63" s="13" t="s">
        <v>55</v>
      </c>
      <c r="F63" s="6" t="s">
        <v>18</v>
      </c>
      <c r="G63" s="12" t="s">
        <v>30</v>
      </c>
      <c r="H63" s="13" t="s">
        <v>87</v>
      </c>
      <c r="I63" s="10" t="str">
        <f t="shared" si="1"/>
        <v>_2025_</v>
      </c>
      <c r="J63" s="10" t="str">
        <f t="shared" si="2"/>
        <v>_4_</v>
      </c>
    </row>
    <row r="64" hidden="1">
      <c r="A64" s="15">
        <v>45769.0</v>
      </c>
      <c r="B64" s="13" t="s">
        <v>20</v>
      </c>
      <c r="C64" s="13" t="s">
        <v>25</v>
      </c>
      <c r="D64" s="14">
        <v>174.0</v>
      </c>
      <c r="E64" s="13" t="s">
        <v>55</v>
      </c>
      <c r="F64" s="6" t="s">
        <v>18</v>
      </c>
      <c r="G64" s="12" t="s">
        <v>26</v>
      </c>
      <c r="H64" s="13" t="s">
        <v>88</v>
      </c>
      <c r="I64" s="10" t="str">
        <f t="shared" si="1"/>
        <v>_2025_</v>
      </c>
      <c r="J64" s="10" t="str">
        <f t="shared" si="2"/>
        <v>_4_</v>
      </c>
    </row>
    <row r="65" hidden="1">
      <c r="A65" s="15">
        <v>45770.0</v>
      </c>
      <c r="B65" s="13" t="s">
        <v>20</v>
      </c>
      <c r="C65" s="13" t="s">
        <v>25</v>
      </c>
      <c r="D65" s="14">
        <v>95.0</v>
      </c>
      <c r="E65" s="13" t="s">
        <v>12</v>
      </c>
      <c r="F65" s="11"/>
      <c r="G65" s="12" t="s">
        <v>47</v>
      </c>
      <c r="H65" s="13" t="s">
        <v>89</v>
      </c>
      <c r="I65" s="10" t="str">
        <f t="shared" si="1"/>
        <v>_2025_</v>
      </c>
      <c r="J65" s="10" t="str">
        <f t="shared" si="2"/>
        <v>_4_</v>
      </c>
    </row>
    <row r="66" hidden="1">
      <c r="A66" s="15">
        <v>45770.0</v>
      </c>
      <c r="B66" s="13" t="s">
        <v>20</v>
      </c>
      <c r="C66" s="13" t="s">
        <v>35</v>
      </c>
      <c r="D66" s="14">
        <v>617.25</v>
      </c>
      <c r="E66" s="13" t="s">
        <v>55</v>
      </c>
      <c r="F66" s="6" t="s">
        <v>18</v>
      </c>
      <c r="G66" s="12" t="s">
        <v>36</v>
      </c>
      <c r="H66" s="13" t="s">
        <v>90</v>
      </c>
      <c r="I66" s="10" t="str">
        <f t="shared" si="1"/>
        <v>_2025_</v>
      </c>
      <c r="J66" s="10" t="str">
        <f t="shared" si="2"/>
        <v>_4_</v>
      </c>
    </row>
    <row r="67" hidden="1">
      <c r="A67" s="15">
        <v>45770.0</v>
      </c>
      <c r="B67" s="13" t="s">
        <v>23</v>
      </c>
      <c r="C67" s="13" t="s">
        <v>91</v>
      </c>
      <c r="D67" s="14">
        <f>57.05+36</f>
        <v>93.05</v>
      </c>
      <c r="E67" s="13" t="s">
        <v>12</v>
      </c>
      <c r="F67" s="11"/>
      <c r="G67" s="12"/>
      <c r="H67" s="13" t="s">
        <v>92</v>
      </c>
      <c r="I67" s="10" t="str">
        <f t="shared" si="1"/>
        <v>_2025_</v>
      </c>
      <c r="J67" s="10" t="str">
        <f t="shared" si="2"/>
        <v>_4_</v>
      </c>
    </row>
    <row r="68" hidden="1">
      <c r="A68" s="15">
        <v>45771.0</v>
      </c>
      <c r="B68" s="13" t="s">
        <v>42</v>
      </c>
      <c r="C68" s="13" t="s">
        <v>43</v>
      </c>
      <c r="D68" s="14">
        <v>10.0</v>
      </c>
      <c r="E68" s="13" t="s">
        <v>12</v>
      </c>
      <c r="F68" s="11"/>
      <c r="G68" s="12"/>
      <c r="H68" s="13" t="s">
        <v>93</v>
      </c>
      <c r="I68" s="10" t="str">
        <f t="shared" si="1"/>
        <v>_2025_</v>
      </c>
      <c r="J68" s="10" t="str">
        <f t="shared" si="2"/>
        <v>_4_</v>
      </c>
    </row>
    <row r="69" hidden="1">
      <c r="A69" s="15">
        <v>45772.0</v>
      </c>
      <c r="B69" s="13" t="s">
        <v>42</v>
      </c>
      <c r="C69" s="13" t="s">
        <v>94</v>
      </c>
      <c r="D69" s="14">
        <v>650.0</v>
      </c>
      <c r="E69" s="13" t="s">
        <v>12</v>
      </c>
      <c r="F69" s="11"/>
      <c r="G69" s="12"/>
      <c r="H69" s="13" t="s">
        <v>95</v>
      </c>
      <c r="I69" s="10" t="str">
        <f t="shared" si="1"/>
        <v>_2025_</v>
      </c>
      <c r="J69" s="10" t="str">
        <f t="shared" si="2"/>
        <v>_4_</v>
      </c>
    </row>
    <row r="70" hidden="1">
      <c r="A70" s="15">
        <v>45772.0</v>
      </c>
      <c r="B70" s="13" t="s">
        <v>42</v>
      </c>
      <c r="C70" s="13" t="s">
        <v>96</v>
      </c>
      <c r="D70" s="14">
        <v>450.0</v>
      </c>
      <c r="E70" s="13" t="s">
        <v>12</v>
      </c>
      <c r="F70" s="11"/>
      <c r="G70" s="12"/>
      <c r="H70" s="13" t="s">
        <v>95</v>
      </c>
      <c r="I70" s="10" t="str">
        <f t="shared" si="1"/>
        <v>_2025_</v>
      </c>
      <c r="J70" s="10" t="str">
        <f t="shared" si="2"/>
        <v>_4_</v>
      </c>
    </row>
    <row r="71" hidden="1">
      <c r="A71" s="15">
        <v>45772.0</v>
      </c>
      <c r="B71" s="13" t="s">
        <v>10</v>
      </c>
      <c r="C71" s="13" t="s">
        <v>11</v>
      </c>
      <c r="D71" s="14">
        <v>5000.0</v>
      </c>
      <c r="E71" s="13" t="s">
        <v>12</v>
      </c>
      <c r="F71" s="11"/>
      <c r="G71" s="12"/>
      <c r="H71" s="13" t="s">
        <v>97</v>
      </c>
      <c r="I71" s="10" t="str">
        <f t="shared" si="1"/>
        <v>_2025_</v>
      </c>
      <c r="J71" s="10" t="str">
        <f t="shared" si="2"/>
        <v>_4_</v>
      </c>
    </row>
    <row r="72" hidden="1">
      <c r="A72" s="15">
        <v>45772.0</v>
      </c>
      <c r="B72" s="13" t="s">
        <v>10</v>
      </c>
      <c r="C72" s="13" t="s">
        <v>13</v>
      </c>
      <c r="D72" s="14">
        <v>2000.0</v>
      </c>
      <c r="E72" s="13" t="s">
        <v>12</v>
      </c>
      <c r="F72" s="11"/>
      <c r="G72" s="12"/>
      <c r="H72" s="13" t="s">
        <v>98</v>
      </c>
      <c r="I72" s="10" t="str">
        <f t="shared" si="1"/>
        <v>_2025_</v>
      </c>
      <c r="J72" s="10" t="str">
        <f t="shared" si="2"/>
        <v>_4_</v>
      </c>
    </row>
    <row r="73" hidden="1">
      <c r="A73" s="15">
        <v>45772.0</v>
      </c>
      <c r="B73" s="13" t="s">
        <v>10</v>
      </c>
      <c r="C73" s="13" t="s">
        <v>99</v>
      </c>
      <c r="D73" s="14">
        <v>800.0</v>
      </c>
      <c r="E73" s="13" t="s">
        <v>12</v>
      </c>
      <c r="F73" s="11"/>
      <c r="G73" s="12"/>
      <c r="H73" s="13" t="s">
        <v>100</v>
      </c>
      <c r="I73" s="10" t="str">
        <f t="shared" si="1"/>
        <v>_2025_</v>
      </c>
      <c r="J73" s="10" t="str">
        <f t="shared" si="2"/>
        <v>_4_</v>
      </c>
    </row>
    <row r="74" hidden="1">
      <c r="A74" s="15">
        <v>45772.0</v>
      </c>
      <c r="B74" s="13" t="s">
        <v>21</v>
      </c>
      <c r="C74" s="13" t="s">
        <v>101</v>
      </c>
      <c r="D74" s="14">
        <v>8251.0</v>
      </c>
      <c r="E74" s="13" t="s">
        <v>12</v>
      </c>
      <c r="F74" s="11"/>
      <c r="G74" s="12"/>
      <c r="H74" s="13" t="s">
        <v>102</v>
      </c>
      <c r="I74" s="10" t="str">
        <f t="shared" si="1"/>
        <v>_2025_</v>
      </c>
      <c r="J74" s="10" t="str">
        <f t="shared" si="2"/>
        <v>_4_</v>
      </c>
    </row>
    <row r="75" hidden="1">
      <c r="A75" s="15">
        <v>45772.0</v>
      </c>
      <c r="B75" s="13" t="s">
        <v>21</v>
      </c>
      <c r="C75" s="13" t="s">
        <v>103</v>
      </c>
      <c r="D75" s="14">
        <v>1000.0</v>
      </c>
      <c r="E75" s="13" t="s">
        <v>12</v>
      </c>
      <c r="F75" s="11"/>
      <c r="G75" s="12"/>
      <c r="H75" s="13" t="s">
        <v>104</v>
      </c>
      <c r="I75" s="10" t="str">
        <f t="shared" si="1"/>
        <v>_2025_</v>
      </c>
      <c r="J75" s="10" t="str">
        <f t="shared" si="2"/>
        <v>_4_</v>
      </c>
    </row>
    <row r="76" hidden="1">
      <c r="A76" s="15">
        <v>45772.0</v>
      </c>
      <c r="B76" s="13" t="s">
        <v>21</v>
      </c>
      <c r="C76" s="13" t="s">
        <v>101</v>
      </c>
      <c r="D76" s="14">
        <v>1643.86</v>
      </c>
      <c r="E76" s="13" t="s">
        <v>12</v>
      </c>
      <c r="F76" s="11"/>
      <c r="G76" s="12"/>
      <c r="H76" s="13" t="s">
        <v>105</v>
      </c>
      <c r="I76" s="10" t="str">
        <f t="shared" si="1"/>
        <v>_2025_</v>
      </c>
      <c r="J76" s="10" t="str">
        <f t="shared" si="2"/>
        <v>_4_</v>
      </c>
    </row>
    <row r="77" hidden="1">
      <c r="A77" s="15">
        <v>45772.0</v>
      </c>
      <c r="B77" s="13" t="s">
        <v>20</v>
      </c>
      <c r="C77" s="13" t="s">
        <v>21</v>
      </c>
      <c r="D77" s="14">
        <v>60.0</v>
      </c>
      <c r="E77" s="13" t="s">
        <v>12</v>
      </c>
      <c r="F77" s="11"/>
      <c r="G77" s="12"/>
      <c r="H77" s="13" t="s">
        <v>106</v>
      </c>
      <c r="I77" s="10" t="str">
        <f t="shared" si="1"/>
        <v>_2025_</v>
      </c>
      <c r="J77" s="10" t="str">
        <f t="shared" si="2"/>
        <v>_4_</v>
      </c>
    </row>
    <row r="78" hidden="1">
      <c r="A78" s="15">
        <v>45772.0</v>
      </c>
      <c r="B78" s="13" t="s">
        <v>62</v>
      </c>
      <c r="C78" s="13" t="s">
        <v>83</v>
      </c>
      <c r="D78" s="14">
        <v>639.0</v>
      </c>
      <c r="E78" s="13" t="s">
        <v>17</v>
      </c>
      <c r="F78" s="6" t="s">
        <v>18</v>
      </c>
      <c r="G78" s="12" t="s">
        <v>84</v>
      </c>
      <c r="H78" s="13" t="s">
        <v>107</v>
      </c>
      <c r="I78" s="10" t="str">
        <f t="shared" si="1"/>
        <v>_2025_</v>
      </c>
      <c r="J78" s="10" t="str">
        <f t="shared" si="2"/>
        <v>_4_</v>
      </c>
    </row>
    <row r="79" hidden="1">
      <c r="A79" s="15">
        <v>45773.0</v>
      </c>
      <c r="B79" s="13" t="s">
        <v>23</v>
      </c>
      <c r="C79" s="13" t="s">
        <v>24</v>
      </c>
      <c r="D79" s="14">
        <v>41044.86</v>
      </c>
      <c r="E79" s="13" t="s">
        <v>12</v>
      </c>
      <c r="F79" s="11"/>
      <c r="G79" s="8"/>
      <c r="H79" s="9"/>
      <c r="I79" s="10" t="str">
        <f t="shared" si="1"/>
        <v>_2025_</v>
      </c>
      <c r="J79" s="10" t="str">
        <f t="shared" si="2"/>
        <v>_4_</v>
      </c>
    </row>
    <row r="80" hidden="1">
      <c r="A80" s="15">
        <v>45773.0</v>
      </c>
      <c r="B80" s="13" t="s">
        <v>20</v>
      </c>
      <c r="C80" s="13" t="s">
        <v>25</v>
      </c>
      <c r="D80" s="14">
        <v>114.0</v>
      </c>
      <c r="E80" s="13" t="s">
        <v>12</v>
      </c>
      <c r="F80" s="11"/>
      <c r="G80" s="12" t="s">
        <v>47</v>
      </c>
      <c r="H80" s="13" t="s">
        <v>89</v>
      </c>
      <c r="I80" s="10" t="str">
        <f t="shared" si="1"/>
        <v>_2025_</v>
      </c>
      <c r="J80" s="10" t="str">
        <f t="shared" si="2"/>
        <v>_4_</v>
      </c>
    </row>
    <row r="81" hidden="1">
      <c r="A81" s="15">
        <v>45773.0</v>
      </c>
      <c r="B81" s="13" t="s">
        <v>62</v>
      </c>
      <c r="C81" s="13" t="s">
        <v>83</v>
      </c>
      <c r="D81" s="14">
        <v>754.0</v>
      </c>
      <c r="E81" s="13" t="s">
        <v>17</v>
      </c>
      <c r="F81" s="6" t="s">
        <v>18</v>
      </c>
      <c r="G81" s="12" t="s">
        <v>84</v>
      </c>
      <c r="H81" s="13" t="s">
        <v>108</v>
      </c>
      <c r="I81" s="10" t="str">
        <f t="shared" si="1"/>
        <v>_2025_</v>
      </c>
      <c r="J81" s="10" t="str">
        <f t="shared" si="2"/>
        <v>_4_</v>
      </c>
    </row>
    <row r="82" hidden="1">
      <c r="A82" s="15">
        <v>45774.0</v>
      </c>
      <c r="B82" s="13" t="s">
        <v>20</v>
      </c>
      <c r="C82" s="13" t="s">
        <v>32</v>
      </c>
      <c r="D82" s="14">
        <v>45.0</v>
      </c>
      <c r="E82" s="13" t="s">
        <v>55</v>
      </c>
      <c r="F82" s="6" t="s">
        <v>18</v>
      </c>
      <c r="G82" s="12" t="s">
        <v>33</v>
      </c>
      <c r="H82" s="13" t="s">
        <v>34</v>
      </c>
      <c r="I82" s="10" t="str">
        <f t="shared" si="1"/>
        <v>_2025_</v>
      </c>
      <c r="J82" s="10" t="str">
        <f t="shared" si="2"/>
        <v>_4_</v>
      </c>
    </row>
    <row r="83" hidden="1">
      <c r="A83" s="15">
        <v>45774.0</v>
      </c>
      <c r="B83" s="13" t="s">
        <v>21</v>
      </c>
      <c r="C83" s="13" t="s">
        <v>56</v>
      </c>
      <c r="D83" s="14">
        <f>2540-1120</f>
        <v>1420</v>
      </c>
      <c r="E83" s="13" t="s">
        <v>12</v>
      </c>
      <c r="F83" s="11"/>
      <c r="G83" s="12"/>
      <c r="H83" s="13" t="s">
        <v>109</v>
      </c>
      <c r="I83" s="10" t="str">
        <f t="shared" si="1"/>
        <v>_2025_</v>
      </c>
      <c r="J83" s="10" t="str">
        <f t="shared" si="2"/>
        <v>_4_</v>
      </c>
    </row>
    <row r="84" hidden="1">
      <c r="A84" s="15">
        <v>45774.0</v>
      </c>
      <c r="B84" s="13" t="s">
        <v>58</v>
      </c>
      <c r="C84" s="13" t="s">
        <v>58</v>
      </c>
      <c r="D84" s="14">
        <v>1120.0</v>
      </c>
      <c r="E84" s="13" t="s">
        <v>12</v>
      </c>
      <c r="F84" s="11"/>
      <c r="G84" s="12"/>
      <c r="H84" s="13" t="s">
        <v>68</v>
      </c>
      <c r="I84" s="10" t="str">
        <f t="shared" si="1"/>
        <v>_2025_</v>
      </c>
      <c r="J84" s="10" t="str">
        <f t="shared" si="2"/>
        <v>_4_</v>
      </c>
    </row>
    <row r="85" hidden="1">
      <c r="A85" s="15">
        <v>45774.0</v>
      </c>
      <c r="B85" s="13" t="s">
        <v>20</v>
      </c>
      <c r="C85" s="13" t="s">
        <v>65</v>
      </c>
      <c r="D85" s="14">
        <v>99.0</v>
      </c>
      <c r="E85" s="13" t="s">
        <v>12</v>
      </c>
      <c r="F85" s="11"/>
      <c r="G85" s="12"/>
      <c r="H85" s="13" t="s">
        <v>110</v>
      </c>
      <c r="I85" s="10" t="str">
        <f t="shared" si="1"/>
        <v>_2025_</v>
      </c>
      <c r="J85" s="10" t="str">
        <f t="shared" si="2"/>
        <v>_4_</v>
      </c>
    </row>
    <row r="86" hidden="1">
      <c r="A86" s="15">
        <v>45774.0</v>
      </c>
      <c r="B86" s="13" t="s">
        <v>20</v>
      </c>
      <c r="C86" s="13" t="s">
        <v>21</v>
      </c>
      <c r="D86" s="16">
        <f>283-99</f>
        <v>184</v>
      </c>
      <c r="E86" s="13" t="s">
        <v>12</v>
      </c>
      <c r="F86" s="11"/>
      <c r="G86" s="12" t="s">
        <v>47</v>
      </c>
      <c r="H86" s="13" t="s">
        <v>111</v>
      </c>
      <c r="I86" s="10" t="str">
        <f t="shared" si="1"/>
        <v>_2025_</v>
      </c>
      <c r="J86" s="10" t="str">
        <f t="shared" si="2"/>
        <v>_4_</v>
      </c>
    </row>
    <row r="87" hidden="1">
      <c r="A87" s="15">
        <v>45775.0</v>
      </c>
      <c r="B87" s="13" t="s">
        <v>23</v>
      </c>
      <c r="C87" s="13" t="s">
        <v>112</v>
      </c>
      <c r="D87" s="14">
        <v>217.6</v>
      </c>
      <c r="E87" s="13" t="s">
        <v>12</v>
      </c>
      <c r="F87" s="11"/>
      <c r="G87" s="12"/>
      <c r="H87" s="13" t="s">
        <v>113</v>
      </c>
      <c r="I87" s="10" t="str">
        <f t="shared" si="1"/>
        <v>_2025_</v>
      </c>
      <c r="J87" s="10" t="str">
        <f t="shared" si="2"/>
        <v>_4_</v>
      </c>
    </row>
    <row r="88" hidden="1">
      <c r="A88" s="15">
        <v>45775.0</v>
      </c>
      <c r="B88" s="13" t="s">
        <v>39</v>
      </c>
      <c r="C88" s="13" t="s">
        <v>114</v>
      </c>
      <c r="D88" s="16">
        <f>253+156</f>
        <v>409</v>
      </c>
      <c r="E88" s="13" t="s">
        <v>55</v>
      </c>
      <c r="F88" s="6" t="s">
        <v>18</v>
      </c>
      <c r="G88" s="12"/>
      <c r="H88" s="13" t="s">
        <v>115</v>
      </c>
      <c r="I88" s="10" t="str">
        <f t="shared" si="1"/>
        <v>_2025_</v>
      </c>
      <c r="J88" s="10" t="str">
        <f t="shared" si="2"/>
        <v>_4_</v>
      </c>
    </row>
    <row r="89" hidden="1">
      <c r="A89" s="15">
        <v>45775.0</v>
      </c>
      <c r="B89" s="13" t="s">
        <v>27</v>
      </c>
      <c r="C89" s="13" t="s">
        <v>116</v>
      </c>
      <c r="D89" s="14">
        <v>112.0</v>
      </c>
      <c r="E89" s="13" t="s">
        <v>55</v>
      </c>
      <c r="F89" s="6" t="s">
        <v>18</v>
      </c>
      <c r="G89" s="12"/>
      <c r="H89" s="13" t="s">
        <v>117</v>
      </c>
      <c r="I89" s="10" t="str">
        <f t="shared" si="1"/>
        <v>_2025_</v>
      </c>
      <c r="J89" s="10" t="str">
        <f t="shared" si="2"/>
        <v>_4_</v>
      </c>
    </row>
    <row r="90" hidden="1">
      <c r="A90" s="15">
        <v>45775.0</v>
      </c>
      <c r="B90" s="13" t="s">
        <v>62</v>
      </c>
      <c r="C90" s="13" t="s">
        <v>83</v>
      </c>
      <c r="D90" s="14">
        <v>84.0</v>
      </c>
      <c r="E90" s="13" t="s">
        <v>55</v>
      </c>
      <c r="F90" s="6" t="s">
        <v>18</v>
      </c>
      <c r="G90" s="12"/>
      <c r="H90" s="13" t="s">
        <v>118</v>
      </c>
      <c r="I90" s="10" t="str">
        <f t="shared" si="1"/>
        <v>_2025_</v>
      </c>
      <c r="J90" s="10" t="str">
        <f t="shared" si="2"/>
        <v>_4_</v>
      </c>
    </row>
    <row r="91" hidden="1">
      <c r="A91" s="15">
        <v>45775.0</v>
      </c>
      <c r="B91" s="13" t="s">
        <v>20</v>
      </c>
      <c r="C91" s="13" t="s">
        <v>32</v>
      </c>
      <c r="D91" s="14">
        <v>40.0</v>
      </c>
      <c r="E91" s="13" t="s">
        <v>55</v>
      </c>
      <c r="F91" s="6" t="s">
        <v>18</v>
      </c>
      <c r="G91" s="12" t="s">
        <v>33</v>
      </c>
      <c r="H91" s="13" t="s">
        <v>34</v>
      </c>
      <c r="I91" s="10" t="str">
        <f t="shared" si="1"/>
        <v>_2025_</v>
      </c>
      <c r="J91" s="10" t="str">
        <f t="shared" si="2"/>
        <v>_4_</v>
      </c>
    </row>
    <row r="92" hidden="1">
      <c r="A92" s="15">
        <v>45775.0</v>
      </c>
      <c r="B92" s="13" t="s">
        <v>20</v>
      </c>
      <c r="C92" s="13" t="s">
        <v>25</v>
      </c>
      <c r="D92" s="14">
        <v>60.0</v>
      </c>
      <c r="E92" s="13" t="s">
        <v>12</v>
      </c>
      <c r="F92" s="11"/>
      <c r="G92" s="12" t="s">
        <v>82</v>
      </c>
      <c r="H92" s="13" t="s">
        <v>119</v>
      </c>
      <c r="I92" s="10" t="str">
        <f t="shared" si="1"/>
        <v>_2025_</v>
      </c>
      <c r="J92" s="10" t="str">
        <f t="shared" si="2"/>
        <v>_4_</v>
      </c>
    </row>
    <row r="93" hidden="1">
      <c r="A93" s="15">
        <v>45776.0</v>
      </c>
      <c r="B93" s="13" t="s">
        <v>20</v>
      </c>
      <c r="C93" s="13" t="s">
        <v>25</v>
      </c>
      <c r="D93" s="14">
        <v>128.0</v>
      </c>
      <c r="E93" s="13" t="s">
        <v>55</v>
      </c>
      <c r="F93" s="6" t="s">
        <v>18</v>
      </c>
      <c r="G93" s="12" t="s">
        <v>30</v>
      </c>
      <c r="H93" s="9"/>
      <c r="I93" s="10" t="str">
        <f t="shared" si="1"/>
        <v>_2025_</v>
      </c>
      <c r="J93" s="10" t="str">
        <f t="shared" si="2"/>
        <v>_4_</v>
      </c>
    </row>
    <row r="94" hidden="1">
      <c r="A94" s="15">
        <v>45777.0</v>
      </c>
      <c r="B94" s="13" t="s">
        <v>20</v>
      </c>
      <c r="C94" s="13" t="s">
        <v>31</v>
      </c>
      <c r="D94" s="14">
        <v>140.0</v>
      </c>
      <c r="E94" s="13" t="s">
        <v>12</v>
      </c>
      <c r="F94" s="11"/>
      <c r="G94" s="12" t="s">
        <v>47</v>
      </c>
      <c r="H94" s="13" t="s">
        <v>120</v>
      </c>
      <c r="I94" s="10" t="str">
        <f t="shared" si="1"/>
        <v>_2025_</v>
      </c>
      <c r="J94" s="10" t="str">
        <f t="shared" si="2"/>
        <v>_4_</v>
      </c>
    </row>
    <row r="95" hidden="1">
      <c r="A95" s="15">
        <v>45778.0</v>
      </c>
      <c r="B95" s="13" t="s">
        <v>10</v>
      </c>
      <c r="C95" s="13" t="s">
        <v>11</v>
      </c>
      <c r="D95" s="14">
        <v>303.91</v>
      </c>
      <c r="E95" s="13" t="s">
        <v>12</v>
      </c>
      <c r="F95" s="11"/>
      <c r="G95" s="8"/>
      <c r="H95" s="9"/>
      <c r="I95" s="10" t="str">
        <f t="shared" si="1"/>
        <v>_2025_</v>
      </c>
      <c r="J95" s="10" t="str">
        <f t="shared" si="2"/>
        <v>_5_</v>
      </c>
    </row>
    <row r="96" hidden="1">
      <c r="A96" s="15">
        <v>45778.0</v>
      </c>
      <c r="B96" s="13" t="s">
        <v>20</v>
      </c>
      <c r="C96" s="13" t="s">
        <v>25</v>
      </c>
      <c r="D96" s="14">
        <v>135.0</v>
      </c>
      <c r="E96" s="13" t="s">
        <v>12</v>
      </c>
      <c r="F96" s="11"/>
      <c r="G96" s="12"/>
      <c r="H96" s="13" t="s">
        <v>121</v>
      </c>
      <c r="I96" s="10" t="str">
        <f t="shared" si="1"/>
        <v>_2025_</v>
      </c>
      <c r="J96" s="10" t="str">
        <f t="shared" si="2"/>
        <v>_5_</v>
      </c>
    </row>
    <row r="97" hidden="1">
      <c r="A97" s="15">
        <v>45778.0</v>
      </c>
      <c r="B97" s="13" t="s">
        <v>20</v>
      </c>
      <c r="C97" s="13" t="s">
        <v>32</v>
      </c>
      <c r="D97" s="14">
        <v>50.0</v>
      </c>
      <c r="E97" s="13" t="s">
        <v>55</v>
      </c>
      <c r="F97" s="6" t="s">
        <v>18</v>
      </c>
      <c r="G97" s="12" t="s">
        <v>33</v>
      </c>
      <c r="H97" s="13" t="s">
        <v>122</v>
      </c>
      <c r="I97" s="10" t="str">
        <f t="shared" si="1"/>
        <v>_2025_</v>
      </c>
      <c r="J97" s="10" t="str">
        <f t="shared" si="2"/>
        <v>_5_</v>
      </c>
    </row>
    <row r="98" hidden="1">
      <c r="A98" s="15">
        <v>45778.0</v>
      </c>
      <c r="B98" s="13" t="s">
        <v>20</v>
      </c>
      <c r="C98" s="13" t="s">
        <v>35</v>
      </c>
      <c r="D98" s="14">
        <f>532.75-179-99</f>
        <v>254.75</v>
      </c>
      <c r="E98" s="13" t="s">
        <v>55</v>
      </c>
      <c r="F98" s="6" t="s">
        <v>18</v>
      </c>
      <c r="G98" s="12" t="s">
        <v>36</v>
      </c>
      <c r="H98" s="9"/>
      <c r="I98" s="10" t="str">
        <f t="shared" si="1"/>
        <v>_2025_</v>
      </c>
      <c r="J98" s="10" t="str">
        <f t="shared" si="2"/>
        <v>_5_</v>
      </c>
    </row>
    <row r="99" hidden="1">
      <c r="A99" s="15">
        <v>45778.0</v>
      </c>
      <c r="B99" s="13" t="s">
        <v>27</v>
      </c>
      <c r="C99" s="13" t="s">
        <v>28</v>
      </c>
      <c r="D99" s="14">
        <v>179.0</v>
      </c>
      <c r="E99" s="13" t="s">
        <v>55</v>
      </c>
      <c r="F99" s="6" t="s">
        <v>18</v>
      </c>
      <c r="G99" s="12" t="s">
        <v>36</v>
      </c>
      <c r="H99" s="13" t="s">
        <v>123</v>
      </c>
      <c r="I99" s="10" t="str">
        <f t="shared" si="1"/>
        <v>_2025_</v>
      </c>
      <c r="J99" s="10" t="str">
        <f t="shared" si="2"/>
        <v>_5_</v>
      </c>
    </row>
    <row r="100" hidden="1">
      <c r="A100" s="15">
        <v>45778.0</v>
      </c>
      <c r="B100" s="13" t="s">
        <v>27</v>
      </c>
      <c r="C100" s="13" t="s">
        <v>124</v>
      </c>
      <c r="D100" s="14">
        <v>99.0</v>
      </c>
      <c r="E100" s="13" t="s">
        <v>55</v>
      </c>
      <c r="F100" s="6" t="s">
        <v>18</v>
      </c>
      <c r="G100" s="12" t="s">
        <v>36</v>
      </c>
      <c r="H100" s="13" t="s">
        <v>125</v>
      </c>
      <c r="I100" s="10" t="str">
        <f t="shared" si="1"/>
        <v>_2025_</v>
      </c>
      <c r="J100" s="10" t="str">
        <f t="shared" si="2"/>
        <v>_5_</v>
      </c>
    </row>
    <row r="101" hidden="1">
      <c r="A101" s="15">
        <v>45778.0</v>
      </c>
      <c r="B101" s="13" t="s">
        <v>23</v>
      </c>
      <c r="C101" s="13" t="s">
        <v>21</v>
      </c>
      <c r="D101" s="14">
        <v>2000.0</v>
      </c>
      <c r="E101" s="13" t="s">
        <v>12</v>
      </c>
      <c r="F101" s="11"/>
      <c r="G101" s="12"/>
      <c r="H101" s="13" t="s">
        <v>126</v>
      </c>
      <c r="I101" s="10" t="str">
        <f t="shared" si="1"/>
        <v>_2025_</v>
      </c>
      <c r="J101" s="10" t="str">
        <f t="shared" si="2"/>
        <v>_5_</v>
      </c>
    </row>
    <row r="102" hidden="1">
      <c r="A102" s="15">
        <v>45778.0</v>
      </c>
      <c r="B102" s="13" t="s">
        <v>23</v>
      </c>
      <c r="C102" s="13" t="s">
        <v>21</v>
      </c>
      <c r="D102" s="14">
        <v>1000.0</v>
      </c>
      <c r="E102" s="13" t="s">
        <v>12</v>
      </c>
      <c r="F102" s="11"/>
      <c r="G102" s="12"/>
      <c r="H102" s="13" t="s">
        <v>127</v>
      </c>
      <c r="I102" s="10" t="str">
        <f t="shared" si="1"/>
        <v>_2025_</v>
      </c>
      <c r="J102" s="10" t="str">
        <f t="shared" si="2"/>
        <v>_5_</v>
      </c>
    </row>
    <row r="103" hidden="1">
      <c r="A103" s="15">
        <v>45778.0</v>
      </c>
      <c r="B103" s="13" t="s">
        <v>10</v>
      </c>
      <c r="C103" s="13" t="s">
        <v>11</v>
      </c>
      <c r="D103" s="14">
        <v>1000.0</v>
      </c>
      <c r="E103" s="13" t="s">
        <v>12</v>
      </c>
      <c r="F103" s="11"/>
      <c r="G103" s="12"/>
      <c r="H103" s="13" t="s">
        <v>128</v>
      </c>
      <c r="I103" s="10" t="str">
        <f t="shared" si="1"/>
        <v>_2025_</v>
      </c>
      <c r="J103" s="10" t="str">
        <f t="shared" si="2"/>
        <v>_5_</v>
      </c>
    </row>
    <row r="104" hidden="1">
      <c r="A104" s="15">
        <v>45778.0</v>
      </c>
      <c r="B104" s="13" t="s">
        <v>21</v>
      </c>
      <c r="C104" s="13" t="s">
        <v>101</v>
      </c>
      <c r="D104" s="14">
        <v>2000.0</v>
      </c>
      <c r="E104" s="13" t="s">
        <v>12</v>
      </c>
      <c r="F104" s="11"/>
      <c r="G104" s="12"/>
      <c r="H104" s="13" t="s">
        <v>129</v>
      </c>
      <c r="I104" s="10" t="str">
        <f t="shared" si="1"/>
        <v>_2025_</v>
      </c>
      <c r="J104" s="10" t="str">
        <f t="shared" si="2"/>
        <v>_5_</v>
      </c>
    </row>
    <row r="105" hidden="1">
      <c r="A105" s="15">
        <v>45778.0</v>
      </c>
      <c r="B105" s="13" t="s">
        <v>20</v>
      </c>
      <c r="C105" s="13" t="s">
        <v>25</v>
      </c>
      <c r="D105" s="14">
        <v>77.0</v>
      </c>
      <c r="E105" s="13" t="s">
        <v>12</v>
      </c>
      <c r="F105" s="11"/>
      <c r="G105" s="12" t="s">
        <v>47</v>
      </c>
      <c r="H105" s="13" t="s">
        <v>130</v>
      </c>
      <c r="I105" s="10" t="str">
        <f t="shared" si="1"/>
        <v>_2025_</v>
      </c>
      <c r="J105" s="10" t="str">
        <f t="shared" si="2"/>
        <v>_5_</v>
      </c>
    </row>
    <row r="106" hidden="1">
      <c r="A106" s="15">
        <v>45779.0</v>
      </c>
      <c r="B106" s="13" t="s">
        <v>10</v>
      </c>
      <c r="C106" s="13" t="s">
        <v>11</v>
      </c>
      <c r="D106" s="14">
        <v>10000.0</v>
      </c>
      <c r="E106" s="13" t="s">
        <v>12</v>
      </c>
      <c r="F106" s="11"/>
      <c r="G106" s="12"/>
      <c r="H106" s="13" t="s">
        <v>131</v>
      </c>
      <c r="I106" s="10" t="str">
        <f t="shared" si="1"/>
        <v>_2025_</v>
      </c>
      <c r="J106" s="10" t="str">
        <f t="shared" si="2"/>
        <v>_5_</v>
      </c>
    </row>
    <row r="107" hidden="1">
      <c r="A107" s="5">
        <v>45780.0</v>
      </c>
      <c r="B107" s="6" t="s">
        <v>20</v>
      </c>
      <c r="C107" s="6" t="s">
        <v>25</v>
      </c>
      <c r="D107" s="7">
        <v>89.0</v>
      </c>
      <c r="E107" s="6" t="s">
        <v>55</v>
      </c>
      <c r="F107" s="6" t="s">
        <v>18</v>
      </c>
      <c r="G107" s="6" t="s">
        <v>30</v>
      </c>
      <c r="H107" s="11"/>
      <c r="I107" s="10" t="str">
        <f t="shared" si="1"/>
        <v>_2025_</v>
      </c>
      <c r="J107" s="10" t="str">
        <f t="shared" si="2"/>
        <v>_5_</v>
      </c>
    </row>
    <row r="108" hidden="1">
      <c r="A108" s="5">
        <v>45780.0</v>
      </c>
      <c r="B108" s="6" t="s">
        <v>62</v>
      </c>
      <c r="C108" s="6" t="s">
        <v>83</v>
      </c>
      <c r="D108" s="7">
        <v>363.0</v>
      </c>
      <c r="E108" s="6" t="s">
        <v>17</v>
      </c>
      <c r="F108" s="6" t="s">
        <v>18</v>
      </c>
      <c r="G108" s="6"/>
      <c r="H108" s="6" t="s">
        <v>132</v>
      </c>
      <c r="I108" s="10" t="str">
        <f t="shared" si="1"/>
        <v>_2025_</v>
      </c>
      <c r="J108" s="10" t="str">
        <f t="shared" si="2"/>
        <v>_5_</v>
      </c>
    </row>
    <row r="109" hidden="1">
      <c r="A109" s="5">
        <v>45781.0</v>
      </c>
      <c r="B109" s="6" t="s">
        <v>20</v>
      </c>
      <c r="C109" s="6" t="s">
        <v>31</v>
      </c>
      <c r="D109" s="7">
        <v>25.0</v>
      </c>
      <c r="E109" s="6" t="s">
        <v>12</v>
      </c>
      <c r="F109" s="11"/>
      <c r="G109" s="6"/>
      <c r="H109" s="6" t="s">
        <v>133</v>
      </c>
      <c r="I109" s="10" t="str">
        <f t="shared" si="1"/>
        <v>_2025_</v>
      </c>
      <c r="J109" s="10" t="str">
        <f t="shared" si="2"/>
        <v>_5_</v>
      </c>
    </row>
    <row r="110" hidden="1">
      <c r="A110" s="5">
        <v>45781.0</v>
      </c>
      <c r="B110" s="6" t="s">
        <v>20</v>
      </c>
      <c r="C110" s="6" t="s">
        <v>31</v>
      </c>
      <c r="D110" s="7">
        <v>30.0</v>
      </c>
      <c r="E110" s="6" t="s">
        <v>12</v>
      </c>
      <c r="F110" s="11"/>
      <c r="G110" s="6"/>
      <c r="H110" s="6" t="s">
        <v>134</v>
      </c>
      <c r="I110" s="10" t="str">
        <f t="shared" si="1"/>
        <v>_2025_</v>
      </c>
      <c r="J110" s="10" t="str">
        <f t="shared" si="2"/>
        <v>_5_</v>
      </c>
    </row>
    <row r="111" hidden="1">
      <c r="A111" s="5">
        <v>45781.0</v>
      </c>
      <c r="B111" s="6" t="s">
        <v>62</v>
      </c>
      <c r="C111" s="6" t="s">
        <v>83</v>
      </c>
      <c r="D111" s="7">
        <v>787.0</v>
      </c>
      <c r="E111" s="6" t="s">
        <v>55</v>
      </c>
      <c r="F111" s="6" t="s">
        <v>18</v>
      </c>
      <c r="G111" s="6"/>
      <c r="H111" s="6" t="s">
        <v>135</v>
      </c>
      <c r="I111" s="10" t="str">
        <f t="shared" si="1"/>
        <v>_2025_</v>
      </c>
      <c r="J111" s="10" t="str">
        <f t="shared" si="2"/>
        <v>_5_</v>
      </c>
    </row>
    <row r="112" hidden="1">
      <c r="A112" s="5">
        <v>45782.0</v>
      </c>
      <c r="B112" s="6" t="s">
        <v>39</v>
      </c>
      <c r="C112" s="6" t="s">
        <v>114</v>
      </c>
      <c r="D112" s="7">
        <f>723+859</f>
        <v>1582</v>
      </c>
      <c r="E112" s="6" t="s">
        <v>17</v>
      </c>
      <c r="F112" s="6" t="s">
        <v>18</v>
      </c>
      <c r="G112" s="6"/>
      <c r="H112" s="6" t="s">
        <v>136</v>
      </c>
      <c r="I112" s="10" t="str">
        <f t="shared" si="1"/>
        <v>_2025_</v>
      </c>
      <c r="J112" s="10" t="str">
        <f t="shared" si="2"/>
        <v>_5_</v>
      </c>
    </row>
    <row r="113" hidden="1">
      <c r="A113" s="5">
        <v>45782.0</v>
      </c>
      <c r="B113" s="6" t="s">
        <v>58</v>
      </c>
      <c r="C113" s="6" t="s">
        <v>58</v>
      </c>
      <c r="D113" s="7">
        <v>1861.0</v>
      </c>
      <c r="E113" s="6" t="s">
        <v>17</v>
      </c>
      <c r="F113" s="6" t="s">
        <v>18</v>
      </c>
      <c r="G113" s="6"/>
      <c r="H113" s="6" t="s">
        <v>137</v>
      </c>
      <c r="I113" s="10" t="str">
        <f t="shared" si="1"/>
        <v>_2025_</v>
      </c>
      <c r="J113" s="10" t="str">
        <f t="shared" si="2"/>
        <v>_5_</v>
      </c>
    </row>
    <row r="114" hidden="1">
      <c r="A114" s="5">
        <v>45782.0</v>
      </c>
      <c r="B114" s="6" t="s">
        <v>20</v>
      </c>
      <c r="C114" s="6" t="s">
        <v>138</v>
      </c>
      <c r="D114" s="7">
        <v>274.0</v>
      </c>
      <c r="E114" s="6" t="s">
        <v>17</v>
      </c>
      <c r="F114" s="6" t="s">
        <v>18</v>
      </c>
      <c r="G114" s="6"/>
      <c r="H114" s="6" t="s">
        <v>139</v>
      </c>
      <c r="I114" s="10" t="str">
        <f t="shared" si="1"/>
        <v>_2025_</v>
      </c>
      <c r="J114" s="10" t="str">
        <f t="shared" si="2"/>
        <v>_5_</v>
      </c>
    </row>
    <row r="115" hidden="1">
      <c r="A115" s="5">
        <v>45782.0</v>
      </c>
      <c r="B115" s="6" t="s">
        <v>62</v>
      </c>
      <c r="C115" s="6" t="s">
        <v>140</v>
      </c>
      <c r="D115" s="7">
        <v>26.34</v>
      </c>
      <c r="E115" s="6" t="s">
        <v>12</v>
      </c>
      <c r="F115" s="11"/>
      <c r="G115" s="11"/>
      <c r="H115" s="11"/>
      <c r="I115" s="10" t="str">
        <f t="shared" si="1"/>
        <v>_2025_</v>
      </c>
      <c r="J115" s="10" t="str">
        <f t="shared" si="2"/>
        <v>_5_</v>
      </c>
    </row>
    <row r="116" hidden="1">
      <c r="A116" s="5">
        <v>45781.0</v>
      </c>
      <c r="B116" s="6" t="s">
        <v>20</v>
      </c>
      <c r="C116" s="6" t="s">
        <v>31</v>
      </c>
      <c r="D116" s="7">
        <v>79.0</v>
      </c>
      <c r="E116" s="6" t="s">
        <v>12</v>
      </c>
      <c r="F116" s="11"/>
      <c r="G116" s="6" t="s">
        <v>47</v>
      </c>
      <c r="H116" s="6" t="s">
        <v>48</v>
      </c>
      <c r="I116" s="10" t="str">
        <f t="shared" si="1"/>
        <v>_2025_</v>
      </c>
      <c r="J116" s="10" t="str">
        <f t="shared" si="2"/>
        <v>_5_</v>
      </c>
    </row>
    <row r="117" hidden="1">
      <c r="A117" s="5">
        <v>45783.0</v>
      </c>
      <c r="B117" s="6" t="s">
        <v>42</v>
      </c>
      <c r="C117" s="6" t="s">
        <v>43</v>
      </c>
      <c r="D117" s="7">
        <v>19.0</v>
      </c>
      <c r="E117" s="6" t="s">
        <v>55</v>
      </c>
      <c r="F117" s="6" t="s">
        <v>18</v>
      </c>
      <c r="G117" s="11"/>
      <c r="H117" s="11"/>
      <c r="I117" s="10" t="str">
        <f t="shared" si="1"/>
        <v>_2025_</v>
      </c>
      <c r="J117" s="10" t="str">
        <f t="shared" si="2"/>
        <v>_5_</v>
      </c>
    </row>
    <row r="118" hidden="1">
      <c r="A118" s="5">
        <v>45782.0</v>
      </c>
      <c r="B118" s="6" t="s">
        <v>20</v>
      </c>
      <c r="C118" s="6" t="s">
        <v>31</v>
      </c>
      <c r="D118" s="7">
        <v>107.0</v>
      </c>
      <c r="E118" s="6" t="s">
        <v>12</v>
      </c>
      <c r="F118" s="6" t="s">
        <v>18</v>
      </c>
      <c r="G118" s="6" t="s">
        <v>47</v>
      </c>
      <c r="H118" s="6" t="s">
        <v>141</v>
      </c>
      <c r="I118" s="10" t="str">
        <f t="shared" si="1"/>
        <v>_2025_</v>
      </c>
      <c r="J118" s="10" t="str">
        <f t="shared" si="2"/>
        <v>_5_</v>
      </c>
    </row>
    <row r="119" hidden="1">
      <c r="A119" s="5">
        <v>45783.0</v>
      </c>
      <c r="B119" s="6" t="s">
        <v>20</v>
      </c>
      <c r="C119" s="6" t="s">
        <v>25</v>
      </c>
      <c r="D119" s="7">
        <v>124.0</v>
      </c>
      <c r="E119" s="6" t="s">
        <v>55</v>
      </c>
      <c r="F119" s="6" t="s">
        <v>18</v>
      </c>
      <c r="G119" s="6" t="s">
        <v>30</v>
      </c>
      <c r="H119" s="6" t="s">
        <v>142</v>
      </c>
      <c r="I119" s="10" t="str">
        <f t="shared" si="1"/>
        <v>_2025_</v>
      </c>
      <c r="J119" s="10" t="str">
        <f t="shared" si="2"/>
        <v>_5_</v>
      </c>
    </row>
    <row r="120" hidden="1">
      <c r="A120" s="5">
        <v>45783.0</v>
      </c>
      <c r="B120" s="6" t="s">
        <v>58</v>
      </c>
      <c r="C120" s="6" t="s">
        <v>58</v>
      </c>
      <c r="D120" s="7">
        <v>124.0</v>
      </c>
      <c r="E120" s="6" t="s">
        <v>55</v>
      </c>
      <c r="F120" s="6" t="s">
        <v>18</v>
      </c>
      <c r="G120" s="6"/>
      <c r="H120" s="6"/>
      <c r="I120" s="10" t="str">
        <f t="shared" si="1"/>
        <v>_2025_</v>
      </c>
      <c r="J120" s="10" t="str">
        <f t="shared" si="2"/>
        <v>_5_</v>
      </c>
    </row>
    <row r="121" hidden="1">
      <c r="A121" s="5">
        <v>45783.0</v>
      </c>
      <c r="B121" s="6" t="s">
        <v>23</v>
      </c>
      <c r="C121" s="6" t="s">
        <v>91</v>
      </c>
      <c r="D121" s="7">
        <v>11.0</v>
      </c>
      <c r="E121" s="6" t="s">
        <v>12</v>
      </c>
      <c r="F121" s="11"/>
      <c r="G121" s="6"/>
      <c r="H121" s="6" t="s">
        <v>143</v>
      </c>
      <c r="I121" s="10" t="str">
        <f t="shared" si="1"/>
        <v>_2025_</v>
      </c>
      <c r="J121" s="10" t="str">
        <f t="shared" si="2"/>
        <v>_5_</v>
      </c>
    </row>
    <row r="122" hidden="1">
      <c r="A122" s="5">
        <v>45780.0</v>
      </c>
      <c r="B122" s="6" t="s">
        <v>15</v>
      </c>
      <c r="C122" s="6" t="s">
        <v>144</v>
      </c>
      <c r="D122" s="7">
        <v>1456.0</v>
      </c>
      <c r="E122" s="6" t="s">
        <v>51</v>
      </c>
      <c r="F122" s="6" t="s">
        <v>18</v>
      </c>
      <c r="G122" s="6"/>
      <c r="H122" s="6" t="s">
        <v>145</v>
      </c>
      <c r="I122" s="10" t="str">
        <f t="shared" si="1"/>
        <v>_2025_</v>
      </c>
      <c r="J122" s="10" t="str">
        <f t="shared" si="2"/>
        <v>_5_</v>
      </c>
    </row>
    <row r="123" hidden="1">
      <c r="A123" s="5">
        <v>45783.0</v>
      </c>
      <c r="B123" s="6" t="s">
        <v>15</v>
      </c>
      <c r="C123" s="6" t="s">
        <v>16</v>
      </c>
      <c r="D123" s="7">
        <v>620.0</v>
      </c>
      <c r="E123" s="6" t="s">
        <v>55</v>
      </c>
      <c r="F123" s="6" t="s">
        <v>18</v>
      </c>
      <c r="G123" s="6"/>
      <c r="H123" s="6" t="s">
        <v>146</v>
      </c>
      <c r="I123" s="10" t="str">
        <f t="shared" si="1"/>
        <v>_2025_</v>
      </c>
      <c r="J123" s="10" t="str">
        <f t="shared" si="2"/>
        <v>_5_</v>
      </c>
    </row>
    <row r="124" hidden="1">
      <c r="A124" s="5">
        <v>45784.0</v>
      </c>
      <c r="B124" s="6" t="s">
        <v>20</v>
      </c>
      <c r="C124" s="6" t="s">
        <v>25</v>
      </c>
      <c r="D124" s="7">
        <v>100.0</v>
      </c>
      <c r="E124" s="6" t="s">
        <v>12</v>
      </c>
      <c r="F124" s="11"/>
      <c r="G124" s="6" t="s">
        <v>82</v>
      </c>
      <c r="H124" s="11"/>
      <c r="I124" s="10" t="str">
        <f t="shared" si="1"/>
        <v>_2025_</v>
      </c>
      <c r="J124" s="10" t="str">
        <f t="shared" si="2"/>
        <v>_5_</v>
      </c>
    </row>
    <row r="125" hidden="1">
      <c r="A125" s="5">
        <v>45784.0</v>
      </c>
      <c r="B125" s="6" t="s">
        <v>23</v>
      </c>
      <c r="C125" s="6" t="s">
        <v>21</v>
      </c>
      <c r="D125" s="7">
        <v>500.0</v>
      </c>
      <c r="E125" s="6" t="s">
        <v>12</v>
      </c>
      <c r="F125" s="11"/>
      <c r="G125" s="6"/>
      <c r="H125" s="6" t="s">
        <v>147</v>
      </c>
      <c r="I125" s="10" t="str">
        <f t="shared" si="1"/>
        <v>_2025_</v>
      </c>
      <c r="J125" s="10" t="str">
        <f t="shared" si="2"/>
        <v>_5_</v>
      </c>
    </row>
    <row r="126" hidden="1">
      <c r="A126" s="5">
        <v>45785.0</v>
      </c>
      <c r="B126" s="6" t="s">
        <v>20</v>
      </c>
      <c r="C126" s="6" t="s">
        <v>35</v>
      </c>
      <c r="D126" s="7">
        <v>15.0</v>
      </c>
      <c r="E126" s="6" t="s">
        <v>12</v>
      </c>
      <c r="F126" s="11"/>
      <c r="G126" s="6"/>
      <c r="H126" s="6" t="s">
        <v>148</v>
      </c>
      <c r="I126" s="10" t="str">
        <f t="shared" si="1"/>
        <v>_2025_</v>
      </c>
      <c r="J126" s="10" t="str">
        <f t="shared" si="2"/>
        <v>_5_</v>
      </c>
    </row>
    <row r="127" hidden="1">
      <c r="A127" s="5">
        <v>45785.0</v>
      </c>
      <c r="B127" s="6" t="s">
        <v>20</v>
      </c>
      <c r="C127" s="6" t="s">
        <v>25</v>
      </c>
      <c r="D127" s="17">
        <f>563-140*3</f>
        <v>143</v>
      </c>
      <c r="E127" s="6" t="s">
        <v>12</v>
      </c>
      <c r="F127" s="11"/>
      <c r="G127" s="6"/>
      <c r="H127" s="6" t="s">
        <v>149</v>
      </c>
      <c r="I127" s="10" t="str">
        <f t="shared" si="1"/>
        <v>_2025_</v>
      </c>
      <c r="J127" s="10" t="str">
        <f t="shared" si="2"/>
        <v>_5_</v>
      </c>
    </row>
    <row r="128" hidden="1">
      <c r="A128" s="5">
        <v>45784.0</v>
      </c>
      <c r="B128" s="6" t="s">
        <v>20</v>
      </c>
      <c r="C128" s="6" t="s">
        <v>21</v>
      </c>
      <c r="D128" s="7">
        <v>20.0</v>
      </c>
      <c r="E128" s="6" t="s">
        <v>150</v>
      </c>
      <c r="F128" s="11"/>
      <c r="G128" s="11"/>
      <c r="H128" s="11"/>
      <c r="I128" s="10" t="str">
        <f t="shared" si="1"/>
        <v>_2025_</v>
      </c>
      <c r="J128" s="10" t="str">
        <f t="shared" si="2"/>
        <v>_5_</v>
      </c>
    </row>
    <row r="129" hidden="1">
      <c r="A129" s="5">
        <v>45786.0</v>
      </c>
      <c r="B129" s="6" t="s">
        <v>20</v>
      </c>
      <c r="C129" s="6" t="s">
        <v>25</v>
      </c>
      <c r="D129" s="7">
        <v>169.0</v>
      </c>
      <c r="E129" s="6" t="s">
        <v>55</v>
      </c>
      <c r="F129" s="6" t="s">
        <v>18</v>
      </c>
      <c r="G129" s="6" t="s">
        <v>30</v>
      </c>
      <c r="H129" s="11"/>
      <c r="I129" s="10" t="str">
        <f t="shared" si="1"/>
        <v>_2025_</v>
      </c>
      <c r="J129" s="10" t="str">
        <f t="shared" si="2"/>
        <v>_5_</v>
      </c>
    </row>
    <row r="130" hidden="1">
      <c r="A130" s="5">
        <v>45786.0</v>
      </c>
      <c r="B130" s="6" t="s">
        <v>20</v>
      </c>
      <c r="C130" s="6" t="s">
        <v>32</v>
      </c>
      <c r="D130" s="7">
        <v>55.0</v>
      </c>
      <c r="E130" s="6" t="s">
        <v>55</v>
      </c>
      <c r="F130" s="6" t="s">
        <v>18</v>
      </c>
      <c r="G130" s="6" t="s">
        <v>33</v>
      </c>
      <c r="H130" s="11"/>
      <c r="I130" s="10" t="str">
        <f t="shared" si="1"/>
        <v>_2025_</v>
      </c>
      <c r="J130" s="10" t="str">
        <f t="shared" si="2"/>
        <v>_5_</v>
      </c>
    </row>
    <row r="131" hidden="1">
      <c r="A131" s="5">
        <v>45786.0</v>
      </c>
      <c r="B131" s="6" t="s">
        <v>58</v>
      </c>
      <c r="C131" s="6" t="s">
        <v>58</v>
      </c>
      <c r="D131" s="7">
        <v>60.0</v>
      </c>
      <c r="E131" s="6" t="s">
        <v>55</v>
      </c>
      <c r="F131" s="6" t="s">
        <v>18</v>
      </c>
      <c r="G131" s="6"/>
      <c r="H131" s="6" t="s">
        <v>151</v>
      </c>
      <c r="I131" s="10" t="str">
        <f t="shared" si="1"/>
        <v>_2025_</v>
      </c>
      <c r="J131" s="10" t="str">
        <f t="shared" si="2"/>
        <v>_5_</v>
      </c>
    </row>
    <row r="132" hidden="1">
      <c r="A132" s="5">
        <v>45786.0</v>
      </c>
      <c r="B132" s="6" t="s">
        <v>20</v>
      </c>
      <c r="C132" s="6" t="s">
        <v>32</v>
      </c>
      <c r="D132" s="7">
        <f>75+59</f>
        <v>134</v>
      </c>
      <c r="E132" s="6" t="s">
        <v>12</v>
      </c>
      <c r="F132" s="11"/>
      <c r="G132" s="6" t="s">
        <v>33</v>
      </c>
      <c r="H132" s="11"/>
      <c r="I132" s="10" t="str">
        <f t="shared" si="1"/>
        <v>_2025_</v>
      </c>
      <c r="J132" s="10" t="str">
        <f t="shared" si="2"/>
        <v>_5_</v>
      </c>
    </row>
    <row r="133" hidden="1">
      <c r="A133" s="5">
        <v>45785.0</v>
      </c>
      <c r="B133" s="6" t="s">
        <v>20</v>
      </c>
      <c r="C133" s="6" t="s">
        <v>32</v>
      </c>
      <c r="D133" s="7">
        <v>25.0</v>
      </c>
      <c r="E133" s="6" t="s">
        <v>12</v>
      </c>
      <c r="F133" s="11"/>
      <c r="G133" s="6"/>
      <c r="H133" s="6" t="s">
        <v>152</v>
      </c>
      <c r="I133" s="10" t="str">
        <f t="shared" si="1"/>
        <v>_2025_</v>
      </c>
      <c r="J133" s="10" t="str">
        <f t="shared" si="2"/>
        <v>_5_</v>
      </c>
    </row>
    <row r="134" hidden="1">
      <c r="A134" s="5">
        <v>45786.0</v>
      </c>
      <c r="B134" s="6" t="s">
        <v>20</v>
      </c>
      <c r="C134" s="6" t="s">
        <v>65</v>
      </c>
      <c r="D134" s="7">
        <v>369.0</v>
      </c>
      <c r="E134" s="6" t="s">
        <v>12</v>
      </c>
      <c r="F134" s="11"/>
      <c r="G134" s="6"/>
      <c r="H134" s="6" t="s">
        <v>153</v>
      </c>
      <c r="I134" s="10" t="str">
        <f t="shared" si="1"/>
        <v>_2025_</v>
      </c>
      <c r="J134" s="10" t="str">
        <f t="shared" si="2"/>
        <v>_5_</v>
      </c>
    </row>
    <row r="135" hidden="1">
      <c r="A135" s="5">
        <v>45786.0</v>
      </c>
      <c r="B135" s="6" t="s">
        <v>27</v>
      </c>
      <c r="C135" s="6" t="s">
        <v>154</v>
      </c>
      <c r="D135" s="7">
        <v>1090.0</v>
      </c>
      <c r="E135" s="6" t="s">
        <v>51</v>
      </c>
      <c r="F135" s="6" t="s">
        <v>18</v>
      </c>
      <c r="G135" s="6" t="s">
        <v>155</v>
      </c>
      <c r="H135" s="11"/>
      <c r="I135" s="10" t="str">
        <f t="shared" si="1"/>
        <v>_2025_</v>
      </c>
      <c r="J135" s="10" t="str">
        <f t="shared" si="2"/>
        <v>_5_</v>
      </c>
    </row>
    <row r="136" hidden="1">
      <c r="A136" s="5">
        <v>45786.0</v>
      </c>
      <c r="B136" s="6" t="s">
        <v>27</v>
      </c>
      <c r="C136" s="6" t="s">
        <v>154</v>
      </c>
      <c r="D136" s="7">
        <v>598.85</v>
      </c>
      <c r="E136" s="6" t="s">
        <v>55</v>
      </c>
      <c r="F136" s="6" t="s">
        <v>18</v>
      </c>
      <c r="G136" s="6" t="s">
        <v>156</v>
      </c>
      <c r="H136" s="11"/>
      <c r="I136" s="10" t="str">
        <f t="shared" si="1"/>
        <v>_2025_</v>
      </c>
      <c r="J136" s="10" t="str">
        <f t="shared" si="2"/>
        <v>_5_</v>
      </c>
    </row>
    <row r="137" hidden="1">
      <c r="A137" s="5">
        <v>45786.0</v>
      </c>
      <c r="B137" s="6" t="s">
        <v>42</v>
      </c>
      <c r="C137" s="6" t="s">
        <v>157</v>
      </c>
      <c r="D137" s="7">
        <v>50.0</v>
      </c>
      <c r="E137" s="6" t="s">
        <v>150</v>
      </c>
      <c r="F137" s="11"/>
      <c r="G137" s="6"/>
      <c r="H137" s="6" t="s">
        <v>158</v>
      </c>
      <c r="I137" s="10" t="str">
        <f t="shared" si="1"/>
        <v>_2025_</v>
      </c>
      <c r="J137" s="10" t="str">
        <f t="shared" si="2"/>
        <v>_5_</v>
      </c>
    </row>
    <row r="138" hidden="1">
      <c r="A138" s="5">
        <v>45787.0</v>
      </c>
      <c r="B138" s="6" t="s">
        <v>159</v>
      </c>
      <c r="C138" s="6" t="s">
        <v>20</v>
      </c>
      <c r="D138" s="7">
        <v>50.0</v>
      </c>
      <c r="E138" s="6" t="s">
        <v>55</v>
      </c>
      <c r="F138" s="6" t="s">
        <v>18</v>
      </c>
      <c r="G138" s="6" t="s">
        <v>33</v>
      </c>
      <c r="H138" s="6" t="s">
        <v>160</v>
      </c>
      <c r="I138" s="10" t="str">
        <f t="shared" si="1"/>
        <v>_2025_</v>
      </c>
      <c r="J138" s="10" t="str">
        <f t="shared" si="2"/>
        <v>_5_</v>
      </c>
    </row>
    <row r="139" hidden="1">
      <c r="A139" s="5">
        <v>45787.0</v>
      </c>
      <c r="B139" s="6" t="s">
        <v>159</v>
      </c>
      <c r="C139" s="6" t="s">
        <v>20</v>
      </c>
      <c r="D139" s="7">
        <v>80.0</v>
      </c>
      <c r="E139" s="6" t="s">
        <v>150</v>
      </c>
      <c r="F139" s="11"/>
      <c r="G139" s="11"/>
      <c r="H139" s="11"/>
      <c r="I139" s="10" t="str">
        <f t="shared" si="1"/>
        <v>_2025_</v>
      </c>
      <c r="J139" s="10" t="str">
        <f t="shared" si="2"/>
        <v>_5_</v>
      </c>
    </row>
    <row r="140" hidden="1">
      <c r="A140" s="5">
        <v>45787.0</v>
      </c>
      <c r="B140" s="6" t="s">
        <v>15</v>
      </c>
      <c r="C140" s="6" t="s">
        <v>16</v>
      </c>
      <c r="D140" s="7">
        <f>800-468</f>
        <v>332</v>
      </c>
      <c r="E140" s="6" t="s">
        <v>17</v>
      </c>
      <c r="F140" s="6" t="s">
        <v>18</v>
      </c>
      <c r="G140" s="6" t="s">
        <v>77</v>
      </c>
      <c r="H140" s="11"/>
      <c r="I140" s="10" t="str">
        <f t="shared" si="1"/>
        <v>_2025_</v>
      </c>
      <c r="J140" s="10" t="str">
        <f t="shared" si="2"/>
        <v>_5_</v>
      </c>
    </row>
    <row r="141" hidden="1">
      <c r="A141" s="5">
        <v>45787.0</v>
      </c>
      <c r="B141" s="6" t="s">
        <v>159</v>
      </c>
      <c r="C141" s="6" t="s">
        <v>161</v>
      </c>
      <c r="D141" s="17">
        <f>2000-666*2</f>
        <v>668</v>
      </c>
      <c r="E141" s="6" t="s">
        <v>12</v>
      </c>
      <c r="F141" s="11"/>
      <c r="G141" s="6"/>
      <c r="H141" s="6" t="s">
        <v>162</v>
      </c>
      <c r="I141" s="10" t="str">
        <f t="shared" si="1"/>
        <v>_2025_</v>
      </c>
      <c r="J141" s="10" t="str">
        <f t="shared" si="2"/>
        <v>_5_</v>
      </c>
    </row>
    <row r="142" hidden="1">
      <c r="A142" s="5">
        <v>45789.0</v>
      </c>
      <c r="B142" s="6" t="s">
        <v>159</v>
      </c>
      <c r="C142" s="6" t="s">
        <v>16</v>
      </c>
      <c r="D142" s="7">
        <f>720-423</f>
        <v>297</v>
      </c>
      <c r="E142" s="6" t="s">
        <v>17</v>
      </c>
      <c r="F142" s="6" t="s">
        <v>18</v>
      </c>
      <c r="G142" s="6" t="s">
        <v>77</v>
      </c>
      <c r="H142" s="11"/>
      <c r="I142" s="10" t="str">
        <f t="shared" si="1"/>
        <v>_2025_</v>
      </c>
      <c r="J142" s="10" t="str">
        <f t="shared" si="2"/>
        <v>_5_</v>
      </c>
    </row>
    <row r="143" hidden="1">
      <c r="A143" s="5">
        <v>45789.0</v>
      </c>
      <c r="B143" s="6" t="s">
        <v>58</v>
      </c>
      <c r="C143" s="6" t="s">
        <v>58</v>
      </c>
      <c r="D143" s="7">
        <f>891</f>
        <v>891</v>
      </c>
      <c r="E143" s="6" t="s">
        <v>17</v>
      </c>
      <c r="F143" s="6" t="s">
        <v>18</v>
      </c>
      <c r="G143" s="6" t="s">
        <v>77</v>
      </c>
      <c r="H143" s="6" t="s">
        <v>163</v>
      </c>
      <c r="I143" s="10" t="str">
        <f t="shared" si="1"/>
        <v>_2025_</v>
      </c>
      <c r="J143" s="10" t="str">
        <f t="shared" si="2"/>
        <v>_5_</v>
      </c>
    </row>
    <row r="144" hidden="1">
      <c r="A144" s="5">
        <v>45787.0</v>
      </c>
      <c r="B144" s="6" t="s">
        <v>159</v>
      </c>
      <c r="C144" s="6" t="s">
        <v>20</v>
      </c>
      <c r="D144" s="7">
        <v>195.0</v>
      </c>
      <c r="E144" s="6" t="s">
        <v>12</v>
      </c>
      <c r="F144" s="11"/>
      <c r="G144" s="6"/>
      <c r="H144" s="6" t="s">
        <v>164</v>
      </c>
      <c r="I144" s="10" t="str">
        <f t="shared" si="1"/>
        <v>_2025_</v>
      </c>
      <c r="J144" s="10" t="str">
        <f t="shared" si="2"/>
        <v>_5_</v>
      </c>
    </row>
    <row r="145" hidden="1">
      <c r="A145" s="5">
        <v>45787.0</v>
      </c>
      <c r="B145" s="6" t="s">
        <v>159</v>
      </c>
      <c r="C145" s="6" t="s">
        <v>65</v>
      </c>
      <c r="D145" s="7">
        <v>170.0</v>
      </c>
      <c r="E145" s="6" t="s">
        <v>12</v>
      </c>
      <c r="F145" s="11"/>
      <c r="G145" s="6"/>
      <c r="H145" s="6" t="s">
        <v>165</v>
      </c>
      <c r="I145" s="10" t="str">
        <f t="shared" si="1"/>
        <v>_2025_</v>
      </c>
      <c r="J145" s="10" t="str">
        <f t="shared" si="2"/>
        <v>_5_</v>
      </c>
    </row>
    <row r="146" hidden="1">
      <c r="A146" s="5">
        <v>45787.0</v>
      </c>
      <c r="B146" s="6" t="s">
        <v>159</v>
      </c>
      <c r="C146" s="6" t="s">
        <v>20</v>
      </c>
      <c r="D146" s="7">
        <v>90.0</v>
      </c>
      <c r="E146" s="6" t="s">
        <v>12</v>
      </c>
      <c r="F146" s="11"/>
      <c r="G146" s="6"/>
      <c r="H146" s="6" t="s">
        <v>166</v>
      </c>
      <c r="I146" s="10" t="str">
        <f t="shared" si="1"/>
        <v>_2025_</v>
      </c>
      <c r="J146" s="10" t="str">
        <f t="shared" si="2"/>
        <v>_5_</v>
      </c>
    </row>
    <row r="147" hidden="1">
      <c r="A147" s="5">
        <v>45787.0</v>
      </c>
      <c r="B147" s="6" t="s">
        <v>159</v>
      </c>
      <c r="C147" s="6" t="s">
        <v>21</v>
      </c>
      <c r="D147" s="7">
        <v>100.0</v>
      </c>
      <c r="E147" s="6" t="s">
        <v>12</v>
      </c>
      <c r="F147" s="11"/>
      <c r="G147" s="6"/>
      <c r="H147" s="6" t="s">
        <v>167</v>
      </c>
      <c r="I147" s="10" t="str">
        <f t="shared" si="1"/>
        <v>_2025_</v>
      </c>
      <c r="J147" s="10" t="str">
        <f t="shared" si="2"/>
        <v>_5_</v>
      </c>
    </row>
    <row r="148" hidden="1">
      <c r="A148" s="5">
        <v>45788.0</v>
      </c>
      <c r="B148" s="6" t="s">
        <v>159</v>
      </c>
      <c r="C148" s="6" t="s">
        <v>20</v>
      </c>
      <c r="D148" s="7">
        <v>55.0</v>
      </c>
      <c r="E148" s="6" t="s">
        <v>12</v>
      </c>
      <c r="F148" s="11"/>
      <c r="G148" s="6"/>
      <c r="H148" s="6" t="s">
        <v>168</v>
      </c>
      <c r="I148" s="10" t="str">
        <f t="shared" si="1"/>
        <v>_2025_</v>
      </c>
      <c r="J148" s="10" t="str">
        <f t="shared" si="2"/>
        <v>_5_</v>
      </c>
    </row>
    <row r="149" hidden="1">
      <c r="A149" s="5">
        <v>45788.0</v>
      </c>
      <c r="B149" s="6" t="s">
        <v>21</v>
      </c>
      <c r="C149" s="6" t="s">
        <v>169</v>
      </c>
      <c r="D149" s="7">
        <v>390.0</v>
      </c>
      <c r="E149" s="6" t="s">
        <v>12</v>
      </c>
      <c r="F149" s="6"/>
      <c r="G149" s="6"/>
      <c r="H149" s="6" t="s">
        <v>170</v>
      </c>
      <c r="I149" s="10" t="str">
        <f t="shared" si="1"/>
        <v>_2025_</v>
      </c>
      <c r="J149" s="10" t="str">
        <f t="shared" si="2"/>
        <v>_5_</v>
      </c>
    </row>
    <row r="150" hidden="1">
      <c r="A150" s="5">
        <v>45788.0</v>
      </c>
      <c r="B150" s="6" t="s">
        <v>159</v>
      </c>
      <c r="C150" s="6" t="s">
        <v>20</v>
      </c>
      <c r="D150" s="7">
        <v>40.0</v>
      </c>
      <c r="E150" s="6" t="s">
        <v>12</v>
      </c>
      <c r="F150" s="11"/>
      <c r="G150" s="6"/>
      <c r="H150" s="6" t="s">
        <v>171</v>
      </c>
      <c r="I150" s="10" t="str">
        <f t="shared" si="1"/>
        <v>_2025_</v>
      </c>
      <c r="J150" s="10" t="str">
        <f t="shared" si="2"/>
        <v>_5_</v>
      </c>
    </row>
    <row r="151" hidden="1">
      <c r="A151" s="5">
        <v>45789.0</v>
      </c>
      <c r="B151" s="6" t="s">
        <v>62</v>
      </c>
      <c r="C151" s="6" t="s">
        <v>63</v>
      </c>
      <c r="D151" s="7">
        <v>3071.77</v>
      </c>
      <c r="E151" s="6" t="s">
        <v>12</v>
      </c>
      <c r="F151" s="11"/>
      <c r="G151" s="6"/>
      <c r="H151" s="6" t="s">
        <v>64</v>
      </c>
      <c r="I151" s="10" t="str">
        <f t="shared" si="1"/>
        <v>_2025_</v>
      </c>
      <c r="J151" s="10" t="str">
        <f t="shared" si="2"/>
        <v>_5_</v>
      </c>
    </row>
    <row r="152" hidden="1">
      <c r="A152" s="5">
        <v>45789.0</v>
      </c>
      <c r="B152" s="6" t="s">
        <v>172</v>
      </c>
      <c r="C152" s="6" t="s">
        <v>173</v>
      </c>
      <c r="D152" s="7">
        <v>200.0</v>
      </c>
      <c r="E152" s="6" t="s">
        <v>12</v>
      </c>
      <c r="F152" s="11"/>
      <c r="G152" s="6"/>
      <c r="H152" s="6" t="s">
        <v>174</v>
      </c>
      <c r="I152" s="10" t="str">
        <f t="shared" si="1"/>
        <v>_2025_</v>
      </c>
      <c r="J152" s="10" t="str">
        <f t="shared" si="2"/>
        <v>_5_</v>
      </c>
    </row>
    <row r="153" hidden="1">
      <c r="A153" s="5">
        <v>45789.0</v>
      </c>
      <c r="B153" s="6" t="s">
        <v>20</v>
      </c>
      <c r="C153" s="6" t="s">
        <v>35</v>
      </c>
      <c r="D153" s="7">
        <v>50.0</v>
      </c>
      <c r="E153" s="6" t="s">
        <v>12</v>
      </c>
      <c r="F153" s="11"/>
      <c r="G153" s="6"/>
      <c r="H153" s="6" t="s">
        <v>175</v>
      </c>
      <c r="I153" s="10" t="str">
        <f t="shared" si="1"/>
        <v>_2025_</v>
      </c>
      <c r="J153" s="10" t="str">
        <f t="shared" si="2"/>
        <v>_5_</v>
      </c>
    </row>
    <row r="154" hidden="1">
      <c r="A154" s="5">
        <v>45789.0</v>
      </c>
      <c r="B154" s="6" t="s">
        <v>20</v>
      </c>
      <c r="C154" s="6" t="s">
        <v>35</v>
      </c>
      <c r="D154" s="7">
        <v>50.0</v>
      </c>
      <c r="E154" s="6" t="s">
        <v>12</v>
      </c>
      <c r="F154" s="11"/>
      <c r="G154" s="6"/>
      <c r="H154" s="6" t="s">
        <v>176</v>
      </c>
      <c r="I154" s="10" t="str">
        <f t="shared" si="1"/>
        <v>_2025_</v>
      </c>
      <c r="J154" s="10" t="str">
        <f t="shared" si="2"/>
        <v>_5_</v>
      </c>
    </row>
    <row r="155" hidden="1">
      <c r="A155" s="5">
        <v>45789.0</v>
      </c>
      <c r="B155" s="6" t="s">
        <v>20</v>
      </c>
      <c r="C155" s="6" t="s">
        <v>25</v>
      </c>
      <c r="D155" s="7">
        <v>50.0</v>
      </c>
      <c r="E155" s="6" t="s">
        <v>12</v>
      </c>
      <c r="F155" s="11"/>
      <c r="G155" s="6" t="s">
        <v>177</v>
      </c>
      <c r="H155" s="6" t="s">
        <v>178</v>
      </c>
      <c r="I155" s="10" t="str">
        <f t="shared" si="1"/>
        <v>_2025_</v>
      </c>
      <c r="J155" s="10" t="str">
        <f t="shared" si="2"/>
        <v>_5_</v>
      </c>
    </row>
    <row r="156" hidden="1">
      <c r="A156" s="5">
        <v>45790.0</v>
      </c>
      <c r="B156" s="6" t="s">
        <v>21</v>
      </c>
      <c r="C156" s="6" t="s">
        <v>179</v>
      </c>
      <c r="D156" s="7">
        <v>320.0</v>
      </c>
      <c r="E156" s="6" t="s">
        <v>12</v>
      </c>
      <c r="F156" s="11"/>
      <c r="G156" s="6"/>
      <c r="H156" s="6" t="s">
        <v>180</v>
      </c>
      <c r="I156" s="10" t="str">
        <f t="shared" si="1"/>
        <v>_2025_</v>
      </c>
      <c r="J156" s="10" t="str">
        <f t="shared" si="2"/>
        <v>_5_</v>
      </c>
    </row>
    <row r="157" hidden="1">
      <c r="A157" s="5">
        <v>45790.0</v>
      </c>
      <c r="B157" s="6" t="s">
        <v>20</v>
      </c>
      <c r="C157" s="6" t="s">
        <v>31</v>
      </c>
      <c r="D157" s="7">
        <v>106.0</v>
      </c>
      <c r="E157" s="6" t="s">
        <v>12</v>
      </c>
      <c r="F157" s="11"/>
      <c r="G157" s="6" t="s">
        <v>47</v>
      </c>
      <c r="H157" s="11"/>
      <c r="I157" s="10" t="str">
        <f t="shared" si="1"/>
        <v>_2025_</v>
      </c>
      <c r="J157" s="10" t="str">
        <f t="shared" si="2"/>
        <v>_5_</v>
      </c>
    </row>
    <row r="158" hidden="1">
      <c r="A158" s="5">
        <v>45791.0</v>
      </c>
      <c r="B158" s="6" t="s">
        <v>42</v>
      </c>
      <c r="C158" s="6" t="s">
        <v>21</v>
      </c>
      <c r="D158" s="7">
        <v>179.0</v>
      </c>
      <c r="E158" s="6" t="s">
        <v>55</v>
      </c>
      <c r="F158" s="6" t="s">
        <v>18</v>
      </c>
      <c r="G158" s="6" t="s">
        <v>181</v>
      </c>
      <c r="H158" s="6" t="s">
        <v>182</v>
      </c>
      <c r="I158" s="10" t="str">
        <f t="shared" si="1"/>
        <v>_2025_</v>
      </c>
      <c r="J158" s="10" t="str">
        <f t="shared" si="2"/>
        <v>_5_</v>
      </c>
    </row>
    <row r="159" hidden="1">
      <c r="A159" s="5">
        <v>45791.0</v>
      </c>
      <c r="B159" s="6" t="s">
        <v>27</v>
      </c>
      <c r="C159" s="6" t="s">
        <v>116</v>
      </c>
      <c r="D159" s="7">
        <v>103.5</v>
      </c>
      <c r="E159" s="6" t="s">
        <v>17</v>
      </c>
      <c r="F159" s="6" t="s">
        <v>18</v>
      </c>
      <c r="G159" s="11"/>
      <c r="H159" s="6" t="s">
        <v>183</v>
      </c>
      <c r="I159" s="10" t="str">
        <f t="shared" si="1"/>
        <v>_2025_</v>
      </c>
      <c r="J159" s="10" t="str">
        <f t="shared" si="2"/>
        <v>_5_</v>
      </c>
    </row>
    <row r="160" hidden="1">
      <c r="A160" s="5">
        <v>45791.0</v>
      </c>
      <c r="B160" s="6" t="s">
        <v>20</v>
      </c>
      <c r="C160" s="6" t="s">
        <v>31</v>
      </c>
      <c r="D160" s="7">
        <v>100.0</v>
      </c>
      <c r="E160" s="6" t="s">
        <v>12</v>
      </c>
      <c r="F160" s="11"/>
      <c r="G160" s="6" t="s">
        <v>47</v>
      </c>
      <c r="H160" s="11"/>
      <c r="I160" s="10" t="str">
        <f t="shared" si="1"/>
        <v>_2025_</v>
      </c>
      <c r="J160" s="10" t="str">
        <f t="shared" si="2"/>
        <v>_5_</v>
      </c>
    </row>
    <row r="161" hidden="1">
      <c r="A161" s="5">
        <v>45791.0</v>
      </c>
      <c r="B161" s="6" t="s">
        <v>20</v>
      </c>
      <c r="C161" s="6" t="s">
        <v>31</v>
      </c>
      <c r="D161" s="7">
        <v>60.0</v>
      </c>
      <c r="E161" s="6" t="s">
        <v>150</v>
      </c>
      <c r="F161" s="11"/>
      <c r="G161" s="11"/>
      <c r="H161" s="6" t="s">
        <v>184</v>
      </c>
      <c r="I161" s="10" t="str">
        <f t="shared" si="1"/>
        <v>_2025_</v>
      </c>
      <c r="J161" s="10" t="str">
        <f t="shared" si="2"/>
        <v>_5_</v>
      </c>
    </row>
    <row r="162" hidden="1">
      <c r="A162" s="5">
        <v>45786.0</v>
      </c>
      <c r="B162" s="6" t="s">
        <v>23</v>
      </c>
      <c r="C162" s="6" t="s">
        <v>91</v>
      </c>
      <c r="D162" s="7">
        <v>77.67</v>
      </c>
      <c r="E162" s="6" t="s">
        <v>12</v>
      </c>
      <c r="F162" s="11"/>
      <c r="G162" s="11"/>
      <c r="H162" s="11"/>
      <c r="I162" s="10" t="str">
        <f t="shared" si="1"/>
        <v>_2025_</v>
      </c>
      <c r="J162" s="10" t="str">
        <f t="shared" si="2"/>
        <v>_5_</v>
      </c>
    </row>
    <row r="163" hidden="1">
      <c r="A163" s="5">
        <v>45776.0</v>
      </c>
      <c r="B163" s="6" t="s">
        <v>23</v>
      </c>
      <c r="C163" s="6" t="s">
        <v>91</v>
      </c>
      <c r="D163" s="7">
        <v>19.0</v>
      </c>
      <c r="E163" s="6" t="s">
        <v>12</v>
      </c>
      <c r="F163" s="11"/>
      <c r="G163" s="11"/>
      <c r="H163" s="11"/>
      <c r="I163" s="10" t="str">
        <f t="shared" si="1"/>
        <v>_2025_</v>
      </c>
      <c r="J163" s="10" t="str">
        <f t="shared" si="2"/>
        <v>_4_</v>
      </c>
    </row>
    <row r="164" hidden="1">
      <c r="A164" s="5">
        <v>45765.0</v>
      </c>
      <c r="B164" s="6" t="s">
        <v>42</v>
      </c>
      <c r="C164" s="6" t="s">
        <v>43</v>
      </c>
      <c r="D164" s="17">
        <f>733.94-600</f>
        <v>133.94</v>
      </c>
      <c r="E164" s="6" t="s">
        <v>55</v>
      </c>
      <c r="F164" s="6" t="s">
        <v>18</v>
      </c>
      <c r="G164" s="11"/>
      <c r="H164" s="6" t="s">
        <v>185</v>
      </c>
      <c r="I164" s="10" t="str">
        <f t="shared" si="1"/>
        <v>_2025_</v>
      </c>
      <c r="J164" s="10" t="str">
        <f t="shared" si="2"/>
        <v>_4_</v>
      </c>
    </row>
    <row r="165" hidden="1">
      <c r="A165" s="5">
        <v>45765.0</v>
      </c>
      <c r="B165" s="6" t="s">
        <v>58</v>
      </c>
      <c r="C165" s="6" t="s">
        <v>58</v>
      </c>
      <c r="D165" s="7">
        <v>600.0</v>
      </c>
      <c r="E165" s="6" t="s">
        <v>55</v>
      </c>
      <c r="F165" s="6" t="s">
        <v>18</v>
      </c>
      <c r="G165" s="11"/>
      <c r="H165" s="6" t="s">
        <v>186</v>
      </c>
      <c r="I165" s="10" t="str">
        <f t="shared" si="1"/>
        <v>_2025_</v>
      </c>
      <c r="J165" s="10" t="str">
        <f t="shared" si="2"/>
        <v>_4_</v>
      </c>
    </row>
    <row r="166" hidden="1">
      <c r="A166" s="5">
        <v>45792.0</v>
      </c>
      <c r="B166" s="6" t="s">
        <v>20</v>
      </c>
      <c r="C166" s="6" t="s">
        <v>31</v>
      </c>
      <c r="D166" s="7">
        <v>47.0</v>
      </c>
      <c r="E166" s="6" t="s">
        <v>55</v>
      </c>
      <c r="F166" s="6" t="s">
        <v>18</v>
      </c>
      <c r="G166" s="6" t="s">
        <v>36</v>
      </c>
      <c r="H166" s="6" t="s">
        <v>48</v>
      </c>
      <c r="I166" s="10" t="str">
        <f t="shared" si="1"/>
        <v>_2025_</v>
      </c>
      <c r="J166" s="10" t="str">
        <f t="shared" si="2"/>
        <v>_5_</v>
      </c>
    </row>
    <row r="167" hidden="1">
      <c r="A167" s="5">
        <v>45792.0</v>
      </c>
      <c r="B167" s="6" t="s">
        <v>20</v>
      </c>
      <c r="C167" s="6" t="s">
        <v>35</v>
      </c>
      <c r="D167" s="7">
        <v>55.0</v>
      </c>
      <c r="E167" s="6" t="s">
        <v>55</v>
      </c>
      <c r="F167" s="6" t="s">
        <v>18</v>
      </c>
      <c r="G167" s="6" t="s">
        <v>36</v>
      </c>
      <c r="H167" s="6" t="s">
        <v>45</v>
      </c>
      <c r="I167" s="10" t="str">
        <f t="shared" si="1"/>
        <v>_2025_</v>
      </c>
      <c r="J167" s="10" t="str">
        <f t="shared" si="2"/>
        <v>_5_</v>
      </c>
    </row>
    <row r="168" hidden="1">
      <c r="A168" s="5">
        <v>45793.0</v>
      </c>
      <c r="B168" s="6" t="s">
        <v>20</v>
      </c>
      <c r="C168" s="6" t="s">
        <v>25</v>
      </c>
      <c r="D168" s="7">
        <v>100.0</v>
      </c>
      <c r="E168" s="6" t="s">
        <v>12</v>
      </c>
      <c r="F168" s="11"/>
      <c r="G168" s="6" t="s">
        <v>82</v>
      </c>
      <c r="H168" s="6" t="s">
        <v>187</v>
      </c>
      <c r="I168" s="10" t="str">
        <f t="shared" si="1"/>
        <v>_2025_</v>
      </c>
      <c r="J168" s="10" t="str">
        <f t="shared" si="2"/>
        <v>_5_</v>
      </c>
    </row>
    <row r="169" hidden="1">
      <c r="A169" s="5">
        <v>45793.0</v>
      </c>
      <c r="B169" s="6" t="s">
        <v>20</v>
      </c>
      <c r="C169" s="6" t="s">
        <v>25</v>
      </c>
      <c r="D169" s="7">
        <v>50.0</v>
      </c>
      <c r="E169" s="6" t="s">
        <v>12</v>
      </c>
      <c r="F169" s="11"/>
      <c r="G169" s="6" t="s">
        <v>177</v>
      </c>
      <c r="H169" s="6" t="s">
        <v>178</v>
      </c>
      <c r="I169" s="10" t="str">
        <f t="shared" si="1"/>
        <v>_2025_</v>
      </c>
      <c r="J169" s="10" t="str">
        <f t="shared" si="2"/>
        <v>_5_</v>
      </c>
    </row>
    <row r="170" hidden="1">
      <c r="A170" s="5">
        <v>45794.0</v>
      </c>
      <c r="B170" s="6" t="s">
        <v>42</v>
      </c>
      <c r="C170" s="6" t="s">
        <v>157</v>
      </c>
      <c r="D170" s="7">
        <v>50.0</v>
      </c>
      <c r="E170" s="6" t="s">
        <v>150</v>
      </c>
      <c r="F170" s="11"/>
      <c r="G170" s="11"/>
      <c r="H170" s="6" t="s">
        <v>158</v>
      </c>
      <c r="I170" s="10" t="str">
        <f t="shared" si="1"/>
        <v>_2025_</v>
      </c>
      <c r="J170" s="10" t="str">
        <f t="shared" si="2"/>
        <v>_5_</v>
      </c>
    </row>
    <row r="171" hidden="1">
      <c r="A171" s="5">
        <v>45794.0</v>
      </c>
      <c r="B171" s="6" t="s">
        <v>39</v>
      </c>
      <c r="C171" s="6" t="s">
        <v>40</v>
      </c>
      <c r="D171" s="17">
        <f>130+70</f>
        <v>200</v>
      </c>
      <c r="E171" s="6" t="s">
        <v>12</v>
      </c>
      <c r="F171" s="11"/>
      <c r="G171" s="11"/>
      <c r="H171" s="6" t="s">
        <v>188</v>
      </c>
      <c r="I171" s="10" t="str">
        <f t="shared" si="1"/>
        <v>_2025_</v>
      </c>
      <c r="J171" s="10" t="str">
        <f t="shared" si="2"/>
        <v>_5_</v>
      </c>
    </row>
    <row r="172" hidden="1">
      <c r="A172" s="5">
        <v>45794.0</v>
      </c>
      <c r="B172" s="6" t="s">
        <v>20</v>
      </c>
      <c r="C172" s="6" t="s">
        <v>35</v>
      </c>
      <c r="D172" s="7">
        <v>55.0</v>
      </c>
      <c r="E172" s="6" t="s">
        <v>12</v>
      </c>
      <c r="F172" s="11"/>
      <c r="G172" s="11"/>
      <c r="H172" s="6" t="s">
        <v>189</v>
      </c>
      <c r="I172" s="10" t="str">
        <f t="shared" si="1"/>
        <v>_2025_</v>
      </c>
      <c r="J172" s="10" t="str">
        <f t="shared" si="2"/>
        <v>_5_</v>
      </c>
    </row>
    <row r="173" hidden="1">
      <c r="A173" s="5">
        <v>45794.0</v>
      </c>
      <c r="B173" s="6" t="s">
        <v>20</v>
      </c>
      <c r="C173" s="6" t="s">
        <v>25</v>
      </c>
      <c r="D173" s="7">
        <v>70.0</v>
      </c>
      <c r="E173" s="6" t="s">
        <v>12</v>
      </c>
      <c r="F173" s="11"/>
      <c r="G173" s="11"/>
      <c r="H173" s="6" t="s">
        <v>190</v>
      </c>
      <c r="I173" s="10" t="str">
        <f t="shared" si="1"/>
        <v>_2025_</v>
      </c>
      <c r="J173" s="10" t="str">
        <f t="shared" si="2"/>
        <v>_5_</v>
      </c>
    </row>
    <row r="174" hidden="1">
      <c r="A174" s="5">
        <v>45794.0</v>
      </c>
      <c r="B174" s="6" t="s">
        <v>20</v>
      </c>
      <c r="C174" s="6" t="s">
        <v>32</v>
      </c>
      <c r="D174" s="7">
        <v>20.0</v>
      </c>
      <c r="E174" s="6" t="s">
        <v>12</v>
      </c>
      <c r="F174" s="11"/>
      <c r="G174" s="11"/>
      <c r="H174" s="6" t="s">
        <v>191</v>
      </c>
      <c r="I174" s="10" t="str">
        <f t="shared" si="1"/>
        <v>_2025_</v>
      </c>
      <c r="J174" s="10" t="str">
        <f t="shared" si="2"/>
        <v>_5_</v>
      </c>
    </row>
    <row r="175" hidden="1">
      <c r="A175" s="5">
        <v>45794.0</v>
      </c>
      <c r="B175" s="6" t="s">
        <v>20</v>
      </c>
      <c r="C175" s="6" t="s">
        <v>31</v>
      </c>
      <c r="D175" s="7">
        <v>70.0</v>
      </c>
      <c r="E175" s="6" t="s">
        <v>12</v>
      </c>
      <c r="F175" s="11"/>
      <c r="G175" s="11"/>
      <c r="H175" s="6" t="s">
        <v>192</v>
      </c>
      <c r="I175" s="10" t="str">
        <f t="shared" si="1"/>
        <v>_2025_</v>
      </c>
      <c r="J175" s="10" t="str">
        <f t="shared" si="2"/>
        <v>_5_</v>
      </c>
    </row>
    <row r="176" hidden="1">
      <c r="A176" s="5">
        <v>45794.0</v>
      </c>
      <c r="B176" s="6" t="s">
        <v>20</v>
      </c>
      <c r="C176" s="6" t="s">
        <v>25</v>
      </c>
      <c r="D176" s="17">
        <f>32+65</f>
        <v>97</v>
      </c>
      <c r="E176" s="6" t="s">
        <v>12</v>
      </c>
      <c r="F176" s="11"/>
      <c r="G176" s="6" t="s">
        <v>47</v>
      </c>
      <c r="H176" s="6" t="s">
        <v>193</v>
      </c>
      <c r="I176" s="10" t="str">
        <f t="shared" si="1"/>
        <v>_2025_</v>
      </c>
      <c r="J176" s="10" t="str">
        <f t="shared" si="2"/>
        <v>_5_</v>
      </c>
    </row>
    <row r="177" hidden="1">
      <c r="A177" s="5">
        <v>45795.0</v>
      </c>
      <c r="B177" s="6" t="s">
        <v>20</v>
      </c>
      <c r="C177" s="6" t="s">
        <v>25</v>
      </c>
      <c r="D177" s="7">
        <v>160.0</v>
      </c>
      <c r="E177" s="6" t="s">
        <v>55</v>
      </c>
      <c r="F177" s="6" t="s">
        <v>18</v>
      </c>
      <c r="G177" s="11"/>
      <c r="H177" s="6" t="s">
        <v>194</v>
      </c>
      <c r="I177" s="10" t="str">
        <f t="shared" si="1"/>
        <v>_2025_</v>
      </c>
      <c r="J177" s="10" t="str">
        <f t="shared" si="2"/>
        <v>_5_</v>
      </c>
    </row>
    <row r="178" hidden="1">
      <c r="A178" s="5">
        <v>45795.0</v>
      </c>
      <c r="B178" s="6" t="s">
        <v>42</v>
      </c>
      <c r="C178" s="6" t="s">
        <v>43</v>
      </c>
      <c r="D178" s="7">
        <v>60.0</v>
      </c>
      <c r="E178" s="6" t="s">
        <v>12</v>
      </c>
      <c r="F178" s="11"/>
      <c r="G178" s="6" t="s">
        <v>195</v>
      </c>
      <c r="H178" s="6" t="s">
        <v>192</v>
      </c>
      <c r="I178" s="10" t="str">
        <f t="shared" si="1"/>
        <v>_2025_</v>
      </c>
      <c r="J178" s="10" t="str">
        <f t="shared" si="2"/>
        <v>_5_</v>
      </c>
    </row>
    <row r="179" hidden="1">
      <c r="A179" s="5">
        <v>45795.0</v>
      </c>
      <c r="B179" s="6" t="s">
        <v>20</v>
      </c>
      <c r="C179" s="6" t="s">
        <v>25</v>
      </c>
      <c r="D179" s="7">
        <v>50.0</v>
      </c>
      <c r="E179" s="6" t="s">
        <v>12</v>
      </c>
      <c r="F179" s="11"/>
      <c r="G179" s="6" t="s">
        <v>177</v>
      </c>
      <c r="H179" s="6" t="s">
        <v>178</v>
      </c>
      <c r="I179" s="10" t="str">
        <f t="shared" si="1"/>
        <v>_2025_</v>
      </c>
      <c r="J179" s="10" t="str">
        <f t="shared" si="2"/>
        <v>_5_</v>
      </c>
    </row>
    <row r="180" hidden="1">
      <c r="A180" s="5">
        <v>45795.0</v>
      </c>
      <c r="B180" s="6" t="s">
        <v>20</v>
      </c>
      <c r="C180" s="6" t="s">
        <v>35</v>
      </c>
      <c r="D180" s="7">
        <v>137.5</v>
      </c>
      <c r="E180" s="6" t="s">
        <v>55</v>
      </c>
      <c r="F180" s="6" t="s">
        <v>18</v>
      </c>
      <c r="G180" s="6" t="s">
        <v>36</v>
      </c>
      <c r="H180" s="6" t="s">
        <v>196</v>
      </c>
      <c r="I180" s="10" t="str">
        <f t="shared" si="1"/>
        <v>_2025_</v>
      </c>
      <c r="J180" s="10" t="str">
        <f t="shared" si="2"/>
        <v>_5_</v>
      </c>
    </row>
    <row r="181" hidden="1">
      <c r="A181" s="5">
        <v>45795.0</v>
      </c>
      <c r="B181" s="6" t="s">
        <v>27</v>
      </c>
      <c r="C181" s="6" t="s">
        <v>116</v>
      </c>
      <c r="D181" s="7">
        <v>74.0</v>
      </c>
      <c r="E181" s="6" t="s">
        <v>55</v>
      </c>
      <c r="F181" s="6" t="s">
        <v>18</v>
      </c>
      <c r="G181" s="6" t="s">
        <v>36</v>
      </c>
      <c r="H181" s="6" t="s">
        <v>197</v>
      </c>
      <c r="I181" s="10" t="str">
        <f t="shared" si="1"/>
        <v>_2025_</v>
      </c>
      <c r="J181" s="10" t="str">
        <f t="shared" si="2"/>
        <v>_5_</v>
      </c>
    </row>
    <row r="182" hidden="1">
      <c r="A182" s="5">
        <v>45795.0</v>
      </c>
      <c r="B182" s="6" t="s">
        <v>20</v>
      </c>
      <c r="C182" s="6" t="s">
        <v>32</v>
      </c>
      <c r="D182" s="7">
        <v>26.0</v>
      </c>
      <c r="E182" s="6" t="s">
        <v>55</v>
      </c>
      <c r="F182" s="6" t="s">
        <v>18</v>
      </c>
      <c r="G182" s="6" t="s">
        <v>36</v>
      </c>
      <c r="H182" s="6" t="s">
        <v>198</v>
      </c>
      <c r="I182" s="10" t="str">
        <f t="shared" si="1"/>
        <v>_2025_</v>
      </c>
      <c r="J182" s="10" t="str">
        <f t="shared" si="2"/>
        <v>_5_</v>
      </c>
    </row>
    <row r="183" hidden="1">
      <c r="A183" s="5">
        <v>45796.0</v>
      </c>
      <c r="B183" s="6" t="s">
        <v>27</v>
      </c>
      <c r="C183" s="6" t="s">
        <v>116</v>
      </c>
      <c r="D183" s="7">
        <v>99.0</v>
      </c>
      <c r="E183" s="6" t="s">
        <v>17</v>
      </c>
      <c r="F183" s="6" t="s">
        <v>18</v>
      </c>
      <c r="G183" s="11"/>
      <c r="H183" s="6" t="s">
        <v>199</v>
      </c>
      <c r="I183" s="10" t="str">
        <f t="shared" si="1"/>
        <v>_2025_</v>
      </c>
      <c r="J183" s="10" t="str">
        <f t="shared" si="2"/>
        <v>_5_</v>
      </c>
    </row>
    <row r="184" hidden="1">
      <c r="A184" s="5">
        <v>45796.0</v>
      </c>
      <c r="B184" s="6" t="s">
        <v>20</v>
      </c>
      <c r="C184" s="6" t="s">
        <v>25</v>
      </c>
      <c r="D184" s="7">
        <v>104.0</v>
      </c>
      <c r="E184" s="6" t="s">
        <v>55</v>
      </c>
      <c r="F184" s="6" t="s">
        <v>18</v>
      </c>
      <c r="G184" s="6" t="s">
        <v>30</v>
      </c>
      <c r="H184" s="6" t="s">
        <v>200</v>
      </c>
      <c r="I184" s="10" t="str">
        <f t="shared" si="1"/>
        <v>_2025_</v>
      </c>
      <c r="J184" s="10" t="str">
        <f t="shared" si="2"/>
        <v>_5_</v>
      </c>
    </row>
    <row r="185" hidden="1">
      <c r="A185" s="5">
        <v>45797.0</v>
      </c>
      <c r="B185" s="6" t="s">
        <v>20</v>
      </c>
      <c r="C185" s="6" t="s">
        <v>32</v>
      </c>
      <c r="D185" s="17">
        <f>72+10</f>
        <v>82</v>
      </c>
      <c r="E185" s="6" t="s">
        <v>12</v>
      </c>
      <c r="F185" s="11"/>
      <c r="G185" s="6" t="s">
        <v>47</v>
      </c>
      <c r="H185" s="6" t="s">
        <v>201</v>
      </c>
      <c r="I185" s="10" t="str">
        <f t="shared" si="1"/>
        <v>_2025_</v>
      </c>
      <c r="J185" s="10" t="str">
        <f t="shared" si="2"/>
        <v>_5_</v>
      </c>
    </row>
    <row r="186" hidden="1">
      <c r="A186" s="5">
        <v>45797.0</v>
      </c>
      <c r="B186" s="6" t="s">
        <v>20</v>
      </c>
      <c r="C186" s="6" t="s">
        <v>31</v>
      </c>
      <c r="D186" s="7">
        <v>39.0</v>
      </c>
      <c r="E186" s="6" t="s">
        <v>12</v>
      </c>
      <c r="F186" s="11"/>
      <c r="G186" s="6" t="s">
        <v>47</v>
      </c>
      <c r="H186" s="6" t="s">
        <v>202</v>
      </c>
      <c r="I186" s="10" t="str">
        <f t="shared" si="1"/>
        <v>_2025_</v>
      </c>
      <c r="J186" s="10" t="str">
        <f t="shared" si="2"/>
        <v>_5_</v>
      </c>
    </row>
    <row r="187" hidden="1">
      <c r="A187" s="5">
        <v>45797.0</v>
      </c>
      <c r="B187" s="6" t="s">
        <v>20</v>
      </c>
      <c r="C187" s="6" t="s">
        <v>25</v>
      </c>
      <c r="D187" s="7">
        <v>59.0</v>
      </c>
      <c r="E187" s="6" t="s">
        <v>12</v>
      </c>
      <c r="F187" s="11"/>
      <c r="G187" s="6" t="s">
        <v>47</v>
      </c>
      <c r="H187" s="6" t="s">
        <v>203</v>
      </c>
      <c r="I187" s="10" t="str">
        <f t="shared" si="1"/>
        <v>_2025_</v>
      </c>
      <c r="J187" s="10" t="str">
        <f t="shared" si="2"/>
        <v>_5_</v>
      </c>
    </row>
    <row r="188" hidden="1">
      <c r="A188" s="5">
        <v>45798.0</v>
      </c>
      <c r="B188" s="6" t="s">
        <v>10</v>
      </c>
      <c r="C188" s="6" t="s">
        <v>11</v>
      </c>
      <c r="D188" s="7">
        <v>10000.0</v>
      </c>
      <c r="E188" s="6" t="s">
        <v>12</v>
      </c>
      <c r="F188" s="11"/>
      <c r="G188" s="11"/>
      <c r="H188" s="11"/>
      <c r="I188" s="10" t="str">
        <f t="shared" si="1"/>
        <v>_2025_</v>
      </c>
      <c r="J188" s="10" t="str">
        <f t="shared" si="2"/>
        <v>_5_</v>
      </c>
    </row>
    <row r="189" hidden="1">
      <c r="A189" s="5">
        <v>45798.0</v>
      </c>
      <c r="B189" s="6" t="s">
        <v>20</v>
      </c>
      <c r="C189" s="6" t="s">
        <v>25</v>
      </c>
      <c r="D189" s="7">
        <v>70.0</v>
      </c>
      <c r="E189" s="6" t="s">
        <v>12</v>
      </c>
      <c r="F189" s="11"/>
      <c r="G189" s="6" t="s">
        <v>204</v>
      </c>
      <c r="H189" s="6" t="s">
        <v>205</v>
      </c>
      <c r="I189" s="10" t="str">
        <f t="shared" si="1"/>
        <v>_2025_</v>
      </c>
      <c r="J189" s="10" t="str">
        <f t="shared" si="2"/>
        <v>_5_</v>
      </c>
    </row>
    <row r="190" hidden="1">
      <c r="A190" s="5">
        <v>45798.0</v>
      </c>
      <c r="B190" s="6" t="s">
        <v>20</v>
      </c>
      <c r="C190" s="6" t="s">
        <v>25</v>
      </c>
      <c r="D190" s="7">
        <v>178.0</v>
      </c>
      <c r="E190" s="6" t="s">
        <v>55</v>
      </c>
      <c r="F190" s="6" t="s">
        <v>18</v>
      </c>
      <c r="G190" s="6" t="s">
        <v>30</v>
      </c>
      <c r="H190" s="6" t="s">
        <v>206</v>
      </c>
      <c r="I190" s="10" t="str">
        <f t="shared" si="1"/>
        <v>_2025_</v>
      </c>
      <c r="J190" s="10" t="str">
        <f t="shared" si="2"/>
        <v>_5_</v>
      </c>
    </row>
    <row r="191" hidden="1">
      <c r="A191" s="5">
        <v>45799.0</v>
      </c>
      <c r="B191" s="6" t="s">
        <v>42</v>
      </c>
      <c r="C191" s="6" t="s">
        <v>46</v>
      </c>
      <c r="D191" s="7">
        <v>200.0</v>
      </c>
      <c r="E191" s="6" t="s">
        <v>12</v>
      </c>
      <c r="F191" s="11"/>
      <c r="G191" s="11"/>
      <c r="H191" s="6" t="s">
        <v>207</v>
      </c>
      <c r="I191" s="10" t="str">
        <f t="shared" si="1"/>
        <v>_2025_</v>
      </c>
      <c r="J191" s="10" t="str">
        <f t="shared" si="2"/>
        <v>_5_</v>
      </c>
    </row>
    <row r="192" hidden="1">
      <c r="A192" s="5">
        <v>45799.0</v>
      </c>
      <c r="B192" s="6" t="s">
        <v>20</v>
      </c>
      <c r="C192" s="6" t="s">
        <v>25</v>
      </c>
      <c r="D192" s="7">
        <v>70.0</v>
      </c>
      <c r="E192" s="6" t="s">
        <v>12</v>
      </c>
      <c r="F192" s="11"/>
      <c r="G192" s="6" t="s">
        <v>204</v>
      </c>
      <c r="H192" s="6" t="s">
        <v>208</v>
      </c>
      <c r="I192" s="10" t="str">
        <f t="shared" si="1"/>
        <v>_2025_</v>
      </c>
      <c r="J192" s="10" t="str">
        <f t="shared" si="2"/>
        <v>_5_</v>
      </c>
    </row>
    <row r="193" hidden="1">
      <c r="A193" s="5">
        <v>45799.0</v>
      </c>
      <c r="B193" s="6" t="s">
        <v>20</v>
      </c>
      <c r="C193" s="6" t="s">
        <v>25</v>
      </c>
      <c r="D193" s="7">
        <v>45.0</v>
      </c>
      <c r="E193" s="6" t="s">
        <v>12</v>
      </c>
      <c r="F193" s="11"/>
      <c r="G193" s="11"/>
      <c r="H193" s="6" t="s">
        <v>209</v>
      </c>
      <c r="I193" s="10" t="str">
        <f t="shared" si="1"/>
        <v>_2025_</v>
      </c>
      <c r="J193" s="10" t="str">
        <f t="shared" si="2"/>
        <v>_5_</v>
      </c>
    </row>
    <row r="194" hidden="1">
      <c r="A194" s="5">
        <v>45799.0</v>
      </c>
      <c r="B194" s="6" t="s">
        <v>15</v>
      </c>
      <c r="C194" s="6" t="s">
        <v>16</v>
      </c>
      <c r="D194" s="7">
        <v>720.0</v>
      </c>
      <c r="E194" s="6" t="s">
        <v>17</v>
      </c>
      <c r="F194" s="6" t="s">
        <v>18</v>
      </c>
      <c r="G194" s="6" t="s">
        <v>77</v>
      </c>
      <c r="H194" s="11"/>
      <c r="I194" s="10" t="str">
        <f t="shared" si="1"/>
        <v>_2025_</v>
      </c>
      <c r="J194" s="10" t="str">
        <f t="shared" si="2"/>
        <v>_5_</v>
      </c>
    </row>
    <row r="195" hidden="1">
      <c r="A195" s="5">
        <v>45800.0</v>
      </c>
      <c r="B195" s="6" t="s">
        <v>23</v>
      </c>
      <c r="C195" s="6" t="s">
        <v>24</v>
      </c>
      <c r="D195" s="7">
        <v>41044.86</v>
      </c>
      <c r="E195" s="6" t="s">
        <v>12</v>
      </c>
      <c r="F195" s="11"/>
      <c r="G195" s="11"/>
      <c r="H195" s="6" t="s">
        <v>210</v>
      </c>
      <c r="I195" s="10" t="str">
        <f t="shared" si="1"/>
        <v>_2025_</v>
      </c>
      <c r="J195" s="10" t="str">
        <f t="shared" si="2"/>
        <v>_5_</v>
      </c>
    </row>
    <row r="196" hidden="1">
      <c r="A196" s="5">
        <v>45800.0</v>
      </c>
      <c r="B196" s="6" t="s">
        <v>62</v>
      </c>
      <c r="C196" s="6" t="s">
        <v>86</v>
      </c>
      <c r="D196" s="7">
        <v>193.35</v>
      </c>
      <c r="E196" s="6" t="s">
        <v>12</v>
      </c>
      <c r="F196" s="11"/>
      <c r="G196" s="11"/>
      <c r="H196" s="11"/>
      <c r="I196" s="10" t="str">
        <f t="shared" si="1"/>
        <v>_2025_</v>
      </c>
      <c r="J196" s="10" t="str">
        <f t="shared" si="2"/>
        <v>_5_</v>
      </c>
    </row>
    <row r="197" hidden="1">
      <c r="A197" s="5">
        <v>45800.0</v>
      </c>
      <c r="B197" s="6" t="s">
        <v>42</v>
      </c>
      <c r="C197" s="6" t="s">
        <v>94</v>
      </c>
      <c r="D197" s="7">
        <v>650.0</v>
      </c>
      <c r="E197" s="6" t="s">
        <v>12</v>
      </c>
      <c r="F197" s="11"/>
      <c r="G197" s="11"/>
      <c r="H197" s="6" t="s">
        <v>211</v>
      </c>
      <c r="I197" s="10" t="str">
        <f t="shared" si="1"/>
        <v>_2025_</v>
      </c>
      <c r="J197" s="10" t="str">
        <f t="shared" si="2"/>
        <v>_5_</v>
      </c>
    </row>
    <row r="198" hidden="1">
      <c r="A198" s="5">
        <v>45800.0</v>
      </c>
      <c r="B198" s="6" t="s">
        <v>42</v>
      </c>
      <c r="C198" s="6" t="s">
        <v>96</v>
      </c>
      <c r="D198" s="7">
        <v>450.0</v>
      </c>
      <c r="E198" s="6" t="s">
        <v>12</v>
      </c>
      <c r="F198" s="11"/>
      <c r="G198" s="11"/>
      <c r="H198" s="6" t="s">
        <v>212</v>
      </c>
      <c r="I198" s="10" t="str">
        <f t="shared" si="1"/>
        <v>_2025_</v>
      </c>
      <c r="J198" s="10" t="str">
        <f t="shared" si="2"/>
        <v>_5_</v>
      </c>
    </row>
    <row r="199" hidden="1">
      <c r="A199" s="5">
        <v>45800.0</v>
      </c>
      <c r="B199" s="6" t="s">
        <v>10</v>
      </c>
      <c r="C199" s="6" t="s">
        <v>13</v>
      </c>
      <c r="D199" s="7">
        <v>1000.0</v>
      </c>
      <c r="E199" s="6" t="s">
        <v>12</v>
      </c>
      <c r="F199" s="11"/>
      <c r="G199" s="11"/>
      <c r="H199" s="6" t="s">
        <v>213</v>
      </c>
      <c r="I199" s="10" t="str">
        <f t="shared" si="1"/>
        <v>_2025_</v>
      </c>
      <c r="J199" s="10" t="str">
        <f t="shared" si="2"/>
        <v>_5_</v>
      </c>
    </row>
    <row r="200" hidden="1">
      <c r="A200" s="5">
        <v>45800.0</v>
      </c>
      <c r="B200" s="6" t="s">
        <v>21</v>
      </c>
      <c r="C200" s="6" t="s">
        <v>101</v>
      </c>
      <c r="D200" s="7">
        <v>8251.0</v>
      </c>
      <c r="E200" s="6" t="s">
        <v>12</v>
      </c>
      <c r="F200" s="11"/>
      <c r="G200" s="11"/>
      <c r="H200" s="6" t="s">
        <v>214</v>
      </c>
      <c r="I200" s="10" t="str">
        <f t="shared" si="1"/>
        <v>_2025_</v>
      </c>
      <c r="J200" s="10" t="str">
        <f t="shared" si="2"/>
        <v>_5_</v>
      </c>
    </row>
    <row r="201" hidden="1">
      <c r="A201" s="5">
        <v>45779.0</v>
      </c>
      <c r="B201" s="6" t="s">
        <v>10</v>
      </c>
      <c r="C201" s="6" t="s">
        <v>99</v>
      </c>
      <c r="D201" s="7">
        <v>-10000.0</v>
      </c>
      <c r="E201" s="6" t="s">
        <v>12</v>
      </c>
      <c r="F201" s="11"/>
      <c r="G201" s="11"/>
      <c r="H201" s="6" t="s">
        <v>215</v>
      </c>
      <c r="I201" s="10" t="str">
        <f t="shared" si="1"/>
        <v>_2025_</v>
      </c>
      <c r="J201" s="10" t="str">
        <f t="shared" si="2"/>
        <v>_5_</v>
      </c>
    </row>
    <row r="202" hidden="1">
      <c r="A202" s="5">
        <v>45798.0</v>
      </c>
      <c r="B202" s="6" t="s">
        <v>10</v>
      </c>
      <c r="C202" s="6" t="s">
        <v>99</v>
      </c>
      <c r="D202" s="7">
        <v>-10000.0</v>
      </c>
      <c r="E202" s="6" t="s">
        <v>12</v>
      </c>
      <c r="F202" s="11"/>
      <c r="G202" s="11"/>
      <c r="H202" s="6" t="s">
        <v>215</v>
      </c>
      <c r="I202" s="10" t="str">
        <f t="shared" si="1"/>
        <v>_2025_</v>
      </c>
      <c r="J202" s="10" t="str">
        <f t="shared" si="2"/>
        <v>_5_</v>
      </c>
    </row>
    <row r="203" hidden="1">
      <c r="A203" s="5">
        <v>45800.0</v>
      </c>
      <c r="B203" s="6" t="s">
        <v>10</v>
      </c>
      <c r="C203" s="6" t="s">
        <v>99</v>
      </c>
      <c r="D203" s="7">
        <v>5089.0</v>
      </c>
      <c r="E203" s="6" t="s">
        <v>12</v>
      </c>
      <c r="F203" s="11"/>
      <c r="G203" s="11"/>
      <c r="H203" s="6" t="s">
        <v>216</v>
      </c>
      <c r="I203" s="10" t="str">
        <f t="shared" si="1"/>
        <v>_2025_</v>
      </c>
      <c r="J203" s="10" t="str">
        <f t="shared" si="2"/>
        <v>_5_</v>
      </c>
    </row>
    <row r="204" hidden="1">
      <c r="A204" s="5">
        <v>45800.0</v>
      </c>
      <c r="B204" s="6" t="s">
        <v>20</v>
      </c>
      <c r="C204" s="6" t="s">
        <v>25</v>
      </c>
      <c r="D204" s="7">
        <v>75.0</v>
      </c>
      <c r="E204" s="6" t="s">
        <v>12</v>
      </c>
      <c r="F204" s="11"/>
      <c r="G204" s="6" t="s">
        <v>82</v>
      </c>
      <c r="H204" s="6" t="s">
        <v>187</v>
      </c>
      <c r="I204" s="10" t="str">
        <f t="shared" si="1"/>
        <v>_2025_</v>
      </c>
      <c r="J204" s="10" t="str">
        <f t="shared" si="2"/>
        <v>_5_</v>
      </c>
    </row>
    <row r="205" hidden="1">
      <c r="A205" s="5">
        <v>45800.0</v>
      </c>
      <c r="B205" s="6" t="s">
        <v>23</v>
      </c>
      <c r="C205" s="6" t="s">
        <v>91</v>
      </c>
      <c r="D205" s="17">
        <f>54+37.2</f>
        <v>91.2</v>
      </c>
      <c r="E205" s="6" t="s">
        <v>12</v>
      </c>
      <c r="F205" s="11"/>
      <c r="G205" s="11"/>
      <c r="H205" s="6" t="s">
        <v>217</v>
      </c>
      <c r="I205" s="10" t="str">
        <f t="shared" si="1"/>
        <v>_2025_</v>
      </c>
      <c r="J205" s="10" t="str">
        <f t="shared" si="2"/>
        <v>_5_</v>
      </c>
    </row>
    <row r="206" hidden="1">
      <c r="A206" s="5">
        <v>45800.0</v>
      </c>
      <c r="B206" s="6" t="s">
        <v>23</v>
      </c>
      <c r="C206" s="6" t="s">
        <v>21</v>
      </c>
      <c r="D206" s="7">
        <v>500.0</v>
      </c>
      <c r="E206" s="6" t="s">
        <v>12</v>
      </c>
      <c r="F206" s="11"/>
      <c r="G206" s="11"/>
      <c r="H206" s="6" t="s">
        <v>218</v>
      </c>
      <c r="I206" s="10" t="str">
        <f t="shared" si="1"/>
        <v>_2025_</v>
      </c>
      <c r="J206" s="10" t="str">
        <f t="shared" si="2"/>
        <v>_5_</v>
      </c>
    </row>
    <row r="207" hidden="1">
      <c r="A207" s="5">
        <v>45795.0</v>
      </c>
      <c r="B207" s="6" t="s">
        <v>58</v>
      </c>
      <c r="C207" s="6" t="s">
        <v>58</v>
      </c>
      <c r="D207" s="7">
        <v>776.33</v>
      </c>
      <c r="E207" s="6" t="s">
        <v>17</v>
      </c>
      <c r="F207" s="6" t="s">
        <v>18</v>
      </c>
      <c r="G207" s="11"/>
      <c r="H207" s="6" t="s">
        <v>219</v>
      </c>
      <c r="I207" s="10" t="str">
        <f t="shared" si="1"/>
        <v>_2025_</v>
      </c>
      <c r="J207" s="10" t="str">
        <f t="shared" si="2"/>
        <v>_5_</v>
      </c>
    </row>
    <row r="208" hidden="1">
      <c r="A208" s="5">
        <v>45802.0</v>
      </c>
      <c r="B208" s="6" t="s">
        <v>21</v>
      </c>
      <c r="C208" s="6" t="s">
        <v>101</v>
      </c>
      <c r="D208" s="7">
        <v>2891.57</v>
      </c>
      <c r="E208" s="6" t="s">
        <v>12</v>
      </c>
      <c r="F208" s="11"/>
      <c r="G208" s="11"/>
      <c r="H208" s="6" t="s">
        <v>105</v>
      </c>
      <c r="I208" s="10" t="str">
        <f t="shared" si="1"/>
        <v>_2025_</v>
      </c>
      <c r="J208" s="10" t="str">
        <f t="shared" si="2"/>
        <v>_5_</v>
      </c>
    </row>
    <row r="209" hidden="1">
      <c r="A209" s="5">
        <v>45801.0</v>
      </c>
      <c r="B209" s="6" t="s">
        <v>20</v>
      </c>
      <c r="C209" s="6" t="s">
        <v>25</v>
      </c>
      <c r="D209" s="7">
        <v>65.0</v>
      </c>
      <c r="E209" s="6" t="s">
        <v>12</v>
      </c>
      <c r="F209" s="11"/>
      <c r="G209" s="6" t="s">
        <v>177</v>
      </c>
      <c r="H209" s="6" t="s">
        <v>178</v>
      </c>
      <c r="I209" s="10" t="str">
        <f t="shared" si="1"/>
        <v>_2025_</v>
      </c>
      <c r="J209" s="10" t="str">
        <f t="shared" si="2"/>
        <v>_5_</v>
      </c>
    </row>
    <row r="210" hidden="1">
      <c r="A210" s="5">
        <v>45802.0</v>
      </c>
      <c r="B210" s="6" t="s">
        <v>10</v>
      </c>
      <c r="C210" s="6" t="s">
        <v>11</v>
      </c>
      <c r="D210" s="7">
        <v>636.71</v>
      </c>
      <c r="E210" s="6" t="s">
        <v>12</v>
      </c>
      <c r="F210" s="11"/>
      <c r="G210" s="11"/>
      <c r="H210" s="11"/>
      <c r="I210" s="10" t="str">
        <f t="shared" si="1"/>
        <v>_2025_</v>
      </c>
      <c r="J210" s="10" t="str">
        <f t="shared" si="2"/>
        <v>_5_</v>
      </c>
    </row>
    <row r="211" hidden="1">
      <c r="A211" s="5">
        <v>45802.0</v>
      </c>
      <c r="B211" s="6" t="s">
        <v>20</v>
      </c>
      <c r="C211" s="6" t="s">
        <v>25</v>
      </c>
      <c r="D211" s="17">
        <f>193-105</f>
        <v>88</v>
      </c>
      <c r="E211" s="6" t="s">
        <v>17</v>
      </c>
      <c r="F211" s="6" t="s">
        <v>18</v>
      </c>
      <c r="G211" s="11"/>
      <c r="H211" s="6" t="s">
        <v>220</v>
      </c>
      <c r="I211" s="10" t="str">
        <f t="shared" si="1"/>
        <v>_2025_</v>
      </c>
      <c r="J211" s="10" t="str">
        <f t="shared" si="2"/>
        <v>_5_</v>
      </c>
    </row>
    <row r="212" hidden="1">
      <c r="A212" s="5">
        <v>45802.0</v>
      </c>
      <c r="B212" s="6" t="s">
        <v>58</v>
      </c>
      <c r="C212" s="6" t="s">
        <v>58</v>
      </c>
      <c r="D212" s="7">
        <v>105.0</v>
      </c>
      <c r="E212" s="6" t="s">
        <v>17</v>
      </c>
      <c r="F212" s="6" t="s">
        <v>18</v>
      </c>
      <c r="G212" s="11"/>
      <c r="H212" s="6" t="s">
        <v>221</v>
      </c>
      <c r="I212" s="10" t="str">
        <f t="shared" si="1"/>
        <v>_2025_</v>
      </c>
      <c r="J212" s="10" t="str">
        <f t="shared" si="2"/>
        <v>_5_</v>
      </c>
    </row>
    <row r="213" hidden="1">
      <c r="A213" s="5">
        <v>45802.0</v>
      </c>
      <c r="B213" s="6" t="s">
        <v>20</v>
      </c>
      <c r="C213" s="6" t="s">
        <v>25</v>
      </c>
      <c r="D213" s="7">
        <v>169.0</v>
      </c>
      <c r="E213" s="6" t="s">
        <v>55</v>
      </c>
      <c r="F213" s="6" t="s">
        <v>18</v>
      </c>
      <c r="G213" s="6" t="s">
        <v>26</v>
      </c>
      <c r="H213" s="11"/>
      <c r="I213" s="10" t="str">
        <f t="shared" si="1"/>
        <v>_2025_</v>
      </c>
      <c r="J213" s="10" t="str">
        <f t="shared" si="2"/>
        <v>_5_</v>
      </c>
    </row>
    <row r="214" hidden="1">
      <c r="A214" s="5">
        <v>45803.0</v>
      </c>
      <c r="B214" s="6" t="s">
        <v>20</v>
      </c>
      <c r="C214" s="6" t="s">
        <v>31</v>
      </c>
      <c r="D214" s="7">
        <f>18+30</f>
        <v>48</v>
      </c>
      <c r="E214" s="6" t="s">
        <v>12</v>
      </c>
      <c r="F214" s="11"/>
      <c r="G214" s="6" t="s">
        <v>47</v>
      </c>
      <c r="H214" s="6" t="s">
        <v>78</v>
      </c>
      <c r="I214" s="10" t="str">
        <f t="shared" si="1"/>
        <v>_2025_</v>
      </c>
      <c r="J214" s="10" t="str">
        <f t="shared" si="2"/>
        <v>_5_</v>
      </c>
    </row>
    <row r="215" hidden="1">
      <c r="A215" s="5">
        <v>45803.0</v>
      </c>
      <c r="B215" s="6" t="s">
        <v>20</v>
      </c>
      <c r="C215" s="6" t="s">
        <v>32</v>
      </c>
      <c r="D215" s="7">
        <f>63+10</f>
        <v>73</v>
      </c>
      <c r="E215" s="6" t="s">
        <v>12</v>
      </c>
      <c r="F215" s="11"/>
      <c r="G215" s="6" t="s">
        <v>47</v>
      </c>
      <c r="H215" s="11"/>
      <c r="I215" s="10" t="str">
        <f t="shared" si="1"/>
        <v>_2025_</v>
      </c>
      <c r="J215" s="10" t="str">
        <f t="shared" si="2"/>
        <v>_5_</v>
      </c>
    </row>
    <row r="216" hidden="1">
      <c r="A216" s="5">
        <v>45803.0</v>
      </c>
      <c r="B216" s="6" t="s">
        <v>20</v>
      </c>
      <c r="C216" s="6" t="s">
        <v>25</v>
      </c>
      <c r="D216" s="7">
        <v>59.0</v>
      </c>
      <c r="E216" s="6" t="s">
        <v>12</v>
      </c>
      <c r="F216" s="11"/>
      <c r="G216" s="6" t="s">
        <v>47</v>
      </c>
      <c r="H216" s="6" t="s">
        <v>222</v>
      </c>
      <c r="I216" s="10" t="str">
        <f t="shared" si="1"/>
        <v>_2025_</v>
      </c>
      <c r="J216" s="10" t="str">
        <f t="shared" si="2"/>
        <v>_5_</v>
      </c>
    </row>
    <row r="217" hidden="1">
      <c r="A217" s="5">
        <v>45803.0</v>
      </c>
      <c r="B217" s="6" t="s">
        <v>20</v>
      </c>
      <c r="C217" s="6" t="s">
        <v>25</v>
      </c>
      <c r="D217" s="7">
        <v>40.0</v>
      </c>
      <c r="E217" s="6" t="s">
        <v>12</v>
      </c>
      <c r="F217" s="11"/>
      <c r="G217" s="11"/>
      <c r="H217" s="6" t="s">
        <v>223</v>
      </c>
      <c r="I217" s="10" t="str">
        <f t="shared" si="1"/>
        <v>_2025_</v>
      </c>
      <c r="J217" s="10" t="str">
        <f t="shared" si="2"/>
        <v>_5_</v>
      </c>
    </row>
    <row r="218" hidden="1">
      <c r="A218" s="5">
        <v>45804.0</v>
      </c>
      <c r="B218" s="6" t="s">
        <v>15</v>
      </c>
      <c r="C218" s="6" t="s">
        <v>144</v>
      </c>
      <c r="D218" s="7">
        <v>3793.15</v>
      </c>
      <c r="E218" s="6" t="s">
        <v>55</v>
      </c>
      <c r="F218" s="6" t="s">
        <v>18</v>
      </c>
      <c r="G218" s="11"/>
      <c r="H218" s="6" t="s">
        <v>224</v>
      </c>
      <c r="I218" s="10" t="str">
        <f t="shared" si="1"/>
        <v>_2025_</v>
      </c>
      <c r="J218" s="10" t="str">
        <f t="shared" si="2"/>
        <v>_5_</v>
      </c>
    </row>
    <row r="219" hidden="1">
      <c r="A219" s="5">
        <v>45804.0</v>
      </c>
      <c r="B219" s="6" t="s">
        <v>20</v>
      </c>
      <c r="C219" s="6" t="s">
        <v>25</v>
      </c>
      <c r="D219" s="7">
        <v>100.0</v>
      </c>
      <c r="E219" s="6" t="s">
        <v>12</v>
      </c>
      <c r="F219" s="11"/>
      <c r="G219" s="11"/>
      <c r="H219" s="6" t="s">
        <v>225</v>
      </c>
      <c r="I219" s="10" t="str">
        <f t="shared" si="1"/>
        <v>_2025_</v>
      </c>
      <c r="J219" s="10" t="str">
        <f t="shared" si="2"/>
        <v>_5_</v>
      </c>
    </row>
    <row r="220" hidden="1">
      <c r="A220" s="5">
        <v>45800.0</v>
      </c>
      <c r="B220" s="6" t="s">
        <v>42</v>
      </c>
      <c r="C220" s="6" t="s">
        <v>157</v>
      </c>
      <c r="D220" s="7">
        <v>50.0</v>
      </c>
      <c r="E220" s="6" t="s">
        <v>150</v>
      </c>
      <c r="F220" s="11"/>
      <c r="G220" s="11"/>
      <c r="H220" s="6" t="s">
        <v>158</v>
      </c>
      <c r="I220" s="10" t="str">
        <f t="shared" si="1"/>
        <v>_2025_</v>
      </c>
      <c r="J220" s="10" t="str">
        <f t="shared" si="2"/>
        <v>_5_</v>
      </c>
    </row>
    <row r="221" hidden="1">
      <c r="A221" s="5">
        <v>45805.0</v>
      </c>
      <c r="B221" s="6" t="s">
        <v>20</v>
      </c>
      <c r="C221" s="6" t="s">
        <v>25</v>
      </c>
      <c r="D221" s="7">
        <v>101.0</v>
      </c>
      <c r="E221" s="6" t="s">
        <v>12</v>
      </c>
      <c r="F221" s="11"/>
      <c r="G221" s="6" t="s">
        <v>47</v>
      </c>
      <c r="H221" s="6" t="s">
        <v>226</v>
      </c>
      <c r="I221" s="10" t="str">
        <f t="shared" si="1"/>
        <v>_2025_</v>
      </c>
      <c r="J221" s="10" t="str">
        <f t="shared" si="2"/>
        <v>_5_</v>
      </c>
    </row>
    <row r="222" hidden="1">
      <c r="A222" s="5">
        <v>45805.0</v>
      </c>
      <c r="B222" s="6" t="s">
        <v>20</v>
      </c>
      <c r="C222" s="6" t="s">
        <v>25</v>
      </c>
      <c r="D222" s="7">
        <v>55.0</v>
      </c>
      <c r="E222" s="6" t="s">
        <v>55</v>
      </c>
      <c r="F222" s="6" t="s">
        <v>18</v>
      </c>
      <c r="G222" s="6" t="s">
        <v>30</v>
      </c>
      <c r="H222" s="6" t="s">
        <v>227</v>
      </c>
      <c r="I222" s="10" t="str">
        <f t="shared" si="1"/>
        <v>_2025_</v>
      </c>
      <c r="J222" s="10" t="str">
        <f t="shared" si="2"/>
        <v>_5_</v>
      </c>
    </row>
    <row r="223" hidden="1">
      <c r="A223" s="5">
        <v>45805.0</v>
      </c>
      <c r="B223" s="6" t="s">
        <v>27</v>
      </c>
      <c r="C223" s="6" t="s">
        <v>28</v>
      </c>
      <c r="D223" s="7">
        <v>278.0</v>
      </c>
      <c r="E223" s="6" t="s">
        <v>17</v>
      </c>
      <c r="F223" s="6" t="s">
        <v>18</v>
      </c>
      <c r="G223" s="6" t="s">
        <v>36</v>
      </c>
      <c r="H223" s="6" t="s">
        <v>228</v>
      </c>
      <c r="I223" s="10" t="str">
        <f t="shared" si="1"/>
        <v>_2025_</v>
      </c>
      <c r="J223" s="10" t="str">
        <f t="shared" si="2"/>
        <v>_5_</v>
      </c>
    </row>
    <row r="224" hidden="1">
      <c r="A224" s="5">
        <v>45806.0</v>
      </c>
      <c r="B224" s="6" t="s">
        <v>20</v>
      </c>
      <c r="C224" s="6" t="s">
        <v>25</v>
      </c>
      <c r="D224" s="7">
        <v>323.1</v>
      </c>
      <c r="E224" s="6" t="s">
        <v>17</v>
      </c>
      <c r="F224" s="6" t="s">
        <v>18</v>
      </c>
      <c r="G224" s="6" t="s">
        <v>229</v>
      </c>
      <c r="H224" s="11"/>
      <c r="I224" s="10" t="str">
        <f t="shared" si="1"/>
        <v>_2025_</v>
      </c>
      <c r="J224" s="10" t="str">
        <f t="shared" si="2"/>
        <v>_5_</v>
      </c>
    </row>
    <row r="225" hidden="1">
      <c r="A225" s="5">
        <v>45807.0</v>
      </c>
      <c r="B225" s="6" t="s">
        <v>20</v>
      </c>
      <c r="C225" s="6" t="s">
        <v>31</v>
      </c>
      <c r="D225" s="7">
        <v>119.0</v>
      </c>
      <c r="E225" s="6" t="s">
        <v>12</v>
      </c>
      <c r="F225" s="11"/>
      <c r="G225" s="6" t="s">
        <v>47</v>
      </c>
      <c r="H225" s="11"/>
      <c r="I225" s="10" t="str">
        <f t="shared" si="1"/>
        <v>_2025_</v>
      </c>
      <c r="J225" s="10" t="str">
        <f t="shared" si="2"/>
        <v>_5_</v>
      </c>
    </row>
    <row r="226" hidden="1">
      <c r="A226" s="5">
        <v>45805.0</v>
      </c>
      <c r="B226" s="6" t="s">
        <v>23</v>
      </c>
      <c r="C226" s="6" t="s">
        <v>112</v>
      </c>
      <c r="D226" s="7">
        <v>196.23</v>
      </c>
      <c r="E226" s="6" t="s">
        <v>12</v>
      </c>
      <c r="F226" s="11"/>
      <c r="G226" s="11"/>
      <c r="H226" s="6" t="s">
        <v>230</v>
      </c>
      <c r="I226" s="10" t="str">
        <f t="shared" si="1"/>
        <v>_2025_</v>
      </c>
      <c r="J226" s="10" t="str">
        <f t="shared" si="2"/>
        <v>_5_</v>
      </c>
    </row>
    <row r="227" hidden="1">
      <c r="A227" s="5">
        <v>45807.0</v>
      </c>
      <c r="B227" s="6" t="s">
        <v>20</v>
      </c>
      <c r="C227" s="6" t="s">
        <v>25</v>
      </c>
      <c r="D227" s="7">
        <v>199.0</v>
      </c>
      <c r="E227" s="6" t="s">
        <v>55</v>
      </c>
      <c r="F227" s="6" t="s">
        <v>18</v>
      </c>
      <c r="G227" s="6" t="s">
        <v>26</v>
      </c>
      <c r="H227" s="6" t="s">
        <v>88</v>
      </c>
      <c r="I227" s="10" t="str">
        <f t="shared" si="1"/>
        <v>_2025_</v>
      </c>
      <c r="J227" s="10" t="str">
        <f t="shared" si="2"/>
        <v>_5_</v>
      </c>
    </row>
    <row r="228" hidden="1">
      <c r="A228" s="5">
        <v>45807.0</v>
      </c>
      <c r="B228" s="6" t="s">
        <v>20</v>
      </c>
      <c r="C228" s="6" t="s">
        <v>35</v>
      </c>
      <c r="D228" s="7">
        <v>242.0</v>
      </c>
      <c r="E228" s="6" t="s">
        <v>17</v>
      </c>
      <c r="F228" s="6" t="s">
        <v>18</v>
      </c>
      <c r="G228" s="11"/>
      <c r="H228" s="6" t="s">
        <v>231</v>
      </c>
      <c r="I228" s="10" t="str">
        <f t="shared" si="1"/>
        <v>_2025_</v>
      </c>
      <c r="J228" s="10" t="str">
        <f t="shared" si="2"/>
        <v>_5_</v>
      </c>
    </row>
    <row r="229" hidden="1">
      <c r="A229" s="5">
        <v>45808.0</v>
      </c>
      <c r="B229" s="6" t="s">
        <v>39</v>
      </c>
      <c r="C229" s="6" t="s">
        <v>114</v>
      </c>
      <c r="D229" s="7">
        <v>200.0</v>
      </c>
      <c r="E229" s="6" t="s">
        <v>55</v>
      </c>
      <c r="F229" s="6" t="s">
        <v>18</v>
      </c>
      <c r="G229" s="11"/>
      <c r="H229" s="6" t="s">
        <v>232</v>
      </c>
      <c r="I229" s="10" t="str">
        <f t="shared" si="1"/>
        <v>_2025_</v>
      </c>
      <c r="J229" s="10" t="str">
        <f t="shared" si="2"/>
        <v>_5_</v>
      </c>
    </row>
    <row r="230" hidden="1">
      <c r="A230" s="5">
        <v>45808.0</v>
      </c>
      <c r="B230" s="6" t="s">
        <v>20</v>
      </c>
      <c r="C230" s="6" t="s">
        <v>25</v>
      </c>
      <c r="D230" s="17">
        <f>20+50+30+35+40+40</f>
        <v>215</v>
      </c>
      <c r="E230" s="6" t="s">
        <v>12</v>
      </c>
      <c r="F230" s="11"/>
      <c r="G230" s="11"/>
      <c r="H230" s="6" t="s">
        <v>233</v>
      </c>
      <c r="I230" s="10" t="str">
        <f t="shared" si="1"/>
        <v>_2025_</v>
      </c>
      <c r="J230" s="10" t="str">
        <f t="shared" si="2"/>
        <v>_5_</v>
      </c>
    </row>
    <row r="231" hidden="1">
      <c r="A231" s="5">
        <v>45808.0</v>
      </c>
      <c r="B231" s="6" t="s">
        <v>42</v>
      </c>
      <c r="C231" s="6" t="s">
        <v>157</v>
      </c>
      <c r="D231" s="7">
        <v>50.0</v>
      </c>
      <c r="E231" s="6" t="s">
        <v>150</v>
      </c>
      <c r="F231" s="11"/>
      <c r="G231" s="11"/>
      <c r="H231" s="6" t="s">
        <v>158</v>
      </c>
      <c r="I231" s="10" t="str">
        <f t="shared" si="1"/>
        <v>_2025_</v>
      </c>
      <c r="J231" s="10" t="str">
        <f t="shared" si="2"/>
        <v>_5_</v>
      </c>
    </row>
    <row r="232" hidden="1">
      <c r="A232" s="5">
        <v>45809.0</v>
      </c>
      <c r="B232" s="6" t="s">
        <v>20</v>
      </c>
      <c r="C232" s="6" t="s">
        <v>31</v>
      </c>
      <c r="D232" s="7">
        <v>200.0</v>
      </c>
      <c r="E232" s="6" t="s">
        <v>12</v>
      </c>
      <c r="F232" s="11"/>
      <c r="G232" s="11"/>
      <c r="H232" s="6" t="s">
        <v>234</v>
      </c>
      <c r="I232" s="10" t="str">
        <f t="shared" si="1"/>
        <v>_2025_</v>
      </c>
      <c r="J232" s="10" t="str">
        <f t="shared" si="2"/>
        <v>_6_</v>
      </c>
    </row>
    <row r="233" hidden="1">
      <c r="A233" s="5">
        <v>45809.0</v>
      </c>
      <c r="B233" s="6" t="s">
        <v>20</v>
      </c>
      <c r="C233" s="6" t="s">
        <v>25</v>
      </c>
      <c r="D233" s="7">
        <v>43.0</v>
      </c>
      <c r="E233" s="6" t="s">
        <v>12</v>
      </c>
      <c r="F233" s="11"/>
      <c r="G233" s="6" t="s">
        <v>47</v>
      </c>
      <c r="H233" s="6" t="s">
        <v>235</v>
      </c>
      <c r="I233" s="10" t="str">
        <f t="shared" si="1"/>
        <v>_2025_</v>
      </c>
      <c r="J233" s="10" t="str">
        <f t="shared" si="2"/>
        <v>_6_</v>
      </c>
    </row>
    <row r="234" hidden="1">
      <c r="A234" s="5">
        <v>45808.0</v>
      </c>
      <c r="B234" s="6" t="s">
        <v>159</v>
      </c>
      <c r="C234" s="6" t="s">
        <v>161</v>
      </c>
      <c r="D234" s="7">
        <v>150.0</v>
      </c>
      <c r="E234" s="6" t="s">
        <v>12</v>
      </c>
      <c r="F234" s="11"/>
      <c r="G234" s="11"/>
      <c r="H234" s="6" t="s">
        <v>236</v>
      </c>
      <c r="I234" s="10" t="str">
        <f t="shared" si="1"/>
        <v>_2025_</v>
      </c>
      <c r="J234" s="10" t="str">
        <f t="shared" si="2"/>
        <v>_5_</v>
      </c>
    </row>
    <row r="235" hidden="1">
      <c r="A235" s="5">
        <v>45809.0</v>
      </c>
      <c r="B235" s="6" t="s">
        <v>20</v>
      </c>
      <c r="C235" s="6" t="s">
        <v>65</v>
      </c>
      <c r="D235" s="7">
        <v>120.0</v>
      </c>
      <c r="E235" s="6" t="s">
        <v>12</v>
      </c>
      <c r="F235" s="11"/>
      <c r="G235" s="11"/>
      <c r="H235" s="6" t="s">
        <v>69</v>
      </c>
      <c r="I235" s="10" t="str">
        <f t="shared" si="1"/>
        <v>_2025_</v>
      </c>
      <c r="J235" s="10" t="str">
        <f t="shared" si="2"/>
        <v>_6_</v>
      </c>
    </row>
    <row r="236" hidden="1">
      <c r="A236" s="5">
        <v>45809.0</v>
      </c>
      <c r="B236" s="6" t="s">
        <v>159</v>
      </c>
      <c r="C236" s="6" t="s">
        <v>20</v>
      </c>
      <c r="D236" s="17">
        <f>90/2</f>
        <v>45</v>
      </c>
      <c r="E236" s="6" t="s">
        <v>12</v>
      </c>
      <c r="F236" s="11"/>
      <c r="G236" s="11"/>
      <c r="H236" s="6" t="s">
        <v>237</v>
      </c>
      <c r="I236" s="10" t="str">
        <f t="shared" si="1"/>
        <v>_2025_</v>
      </c>
      <c r="J236" s="10" t="str">
        <f t="shared" si="2"/>
        <v>_6_</v>
      </c>
    </row>
    <row r="237" hidden="1">
      <c r="A237" s="5">
        <v>45809.0</v>
      </c>
      <c r="B237" s="6" t="s">
        <v>159</v>
      </c>
      <c r="C237" s="6" t="s">
        <v>16</v>
      </c>
      <c r="D237" s="17">
        <f>620-340</f>
        <v>280</v>
      </c>
      <c r="E237" s="6" t="s">
        <v>17</v>
      </c>
      <c r="F237" s="6" t="s">
        <v>18</v>
      </c>
      <c r="G237" s="11"/>
      <c r="H237" s="6" t="s">
        <v>238</v>
      </c>
      <c r="I237" s="10" t="str">
        <f t="shared" si="1"/>
        <v>_2025_</v>
      </c>
      <c r="J237" s="10" t="str">
        <f t="shared" si="2"/>
        <v>_6_</v>
      </c>
    </row>
    <row r="238" hidden="1">
      <c r="A238" s="5">
        <v>45809.0</v>
      </c>
      <c r="B238" s="6" t="s">
        <v>58</v>
      </c>
      <c r="C238" s="6" t="s">
        <v>58</v>
      </c>
      <c r="D238" s="7">
        <v>340.0</v>
      </c>
      <c r="E238" s="6" t="s">
        <v>17</v>
      </c>
      <c r="F238" s="6" t="s">
        <v>18</v>
      </c>
      <c r="G238" s="11"/>
      <c r="H238" s="6" t="s">
        <v>239</v>
      </c>
      <c r="I238" s="10" t="str">
        <f t="shared" si="1"/>
        <v>_2025_</v>
      </c>
      <c r="J238" s="10" t="str">
        <f t="shared" si="2"/>
        <v>_6_</v>
      </c>
    </row>
    <row r="239" hidden="1">
      <c r="A239" s="5">
        <v>45809.0</v>
      </c>
      <c r="B239" s="6" t="s">
        <v>159</v>
      </c>
      <c r="C239" s="6" t="s">
        <v>20</v>
      </c>
      <c r="D239" s="7">
        <v>213.0</v>
      </c>
      <c r="E239" s="6" t="s">
        <v>12</v>
      </c>
      <c r="F239" s="11"/>
      <c r="G239" s="6" t="s">
        <v>47</v>
      </c>
      <c r="H239" s="6" t="s">
        <v>240</v>
      </c>
      <c r="I239" s="10" t="str">
        <f t="shared" si="1"/>
        <v>_2025_</v>
      </c>
      <c r="J239" s="10" t="str">
        <f t="shared" si="2"/>
        <v>_6_</v>
      </c>
    </row>
    <row r="240" hidden="1">
      <c r="A240" s="5">
        <v>45810.0</v>
      </c>
      <c r="B240" s="6" t="s">
        <v>15</v>
      </c>
      <c r="C240" s="6" t="s">
        <v>21</v>
      </c>
      <c r="D240" s="7">
        <v>55.0</v>
      </c>
      <c r="E240" s="6" t="s">
        <v>12</v>
      </c>
      <c r="F240" s="11"/>
      <c r="G240" s="6" t="s">
        <v>47</v>
      </c>
      <c r="H240" s="6" t="s">
        <v>241</v>
      </c>
      <c r="I240" s="10" t="str">
        <f t="shared" si="1"/>
        <v>_2025_</v>
      </c>
      <c r="J240" s="10" t="str">
        <f t="shared" si="2"/>
        <v>_6_</v>
      </c>
    </row>
    <row r="241" hidden="1">
      <c r="A241" s="5">
        <v>45809.0</v>
      </c>
      <c r="B241" s="6" t="s">
        <v>20</v>
      </c>
      <c r="C241" s="6" t="s">
        <v>65</v>
      </c>
      <c r="D241" s="7">
        <v>269.0</v>
      </c>
      <c r="E241" s="6" t="s">
        <v>12</v>
      </c>
      <c r="F241" s="11"/>
      <c r="G241" s="11"/>
      <c r="H241" s="6" t="s">
        <v>242</v>
      </c>
      <c r="I241" s="10" t="str">
        <f t="shared" si="1"/>
        <v>_2025_</v>
      </c>
      <c r="J241" s="10" t="str">
        <f t="shared" si="2"/>
        <v>_6_</v>
      </c>
    </row>
    <row r="242" hidden="1">
      <c r="A242" s="5">
        <v>45809.0</v>
      </c>
      <c r="B242" s="6" t="s">
        <v>159</v>
      </c>
      <c r="C242" s="6" t="s">
        <v>65</v>
      </c>
      <c r="D242" s="7">
        <v>40.0</v>
      </c>
      <c r="E242" s="6" t="s">
        <v>12</v>
      </c>
      <c r="F242" s="11"/>
      <c r="G242" s="11"/>
      <c r="H242" s="6" t="s">
        <v>243</v>
      </c>
      <c r="I242" s="10" t="str">
        <f t="shared" si="1"/>
        <v>_2025_</v>
      </c>
      <c r="J242" s="10" t="str">
        <f t="shared" si="2"/>
        <v>_6_</v>
      </c>
    </row>
    <row r="243" hidden="1">
      <c r="A243" s="5">
        <v>45809.0</v>
      </c>
      <c r="B243" s="6" t="s">
        <v>159</v>
      </c>
      <c r="C243" s="6" t="s">
        <v>20</v>
      </c>
      <c r="D243" s="7">
        <v>25.0</v>
      </c>
      <c r="E243" s="6" t="s">
        <v>12</v>
      </c>
      <c r="F243" s="11"/>
      <c r="G243" s="11"/>
      <c r="H243" s="6" t="s">
        <v>244</v>
      </c>
      <c r="I243" s="10" t="str">
        <f t="shared" si="1"/>
        <v>_2025_</v>
      </c>
      <c r="J243" s="10" t="str">
        <f t="shared" si="2"/>
        <v>_6_</v>
      </c>
    </row>
    <row r="244" hidden="1">
      <c r="A244" s="5">
        <v>45810.0</v>
      </c>
      <c r="B244" s="6" t="s">
        <v>159</v>
      </c>
      <c r="C244" s="6" t="s">
        <v>20</v>
      </c>
      <c r="D244" s="7">
        <v>25.0</v>
      </c>
      <c r="E244" s="6" t="s">
        <v>12</v>
      </c>
      <c r="F244" s="11"/>
      <c r="G244" s="11"/>
      <c r="H244" s="6" t="s">
        <v>245</v>
      </c>
      <c r="I244" s="10" t="str">
        <f t="shared" si="1"/>
        <v>_2025_</v>
      </c>
      <c r="J244" s="10" t="str">
        <f t="shared" si="2"/>
        <v>_6_</v>
      </c>
    </row>
    <row r="245" hidden="1">
      <c r="A245" s="5">
        <v>45810.0</v>
      </c>
      <c r="B245" s="6" t="s">
        <v>21</v>
      </c>
      <c r="C245" s="6" t="s">
        <v>169</v>
      </c>
      <c r="D245" s="7">
        <v>350.0</v>
      </c>
      <c r="E245" s="6" t="s">
        <v>12</v>
      </c>
      <c r="F245" s="11"/>
      <c r="G245" s="11"/>
      <c r="H245" s="6" t="s">
        <v>246</v>
      </c>
      <c r="I245" s="10" t="str">
        <f t="shared" si="1"/>
        <v>_2025_</v>
      </c>
      <c r="J245" s="10" t="str">
        <f t="shared" si="2"/>
        <v>_6_</v>
      </c>
    </row>
    <row r="246" hidden="1">
      <c r="A246" s="5">
        <v>45810.0</v>
      </c>
      <c r="B246" s="6" t="s">
        <v>21</v>
      </c>
      <c r="C246" s="6" t="s">
        <v>169</v>
      </c>
      <c r="D246" s="7">
        <v>444.0</v>
      </c>
      <c r="E246" s="6" t="s">
        <v>12</v>
      </c>
      <c r="F246" s="11"/>
      <c r="G246" s="11"/>
      <c r="H246" s="6" t="s">
        <v>247</v>
      </c>
      <c r="I246" s="10" t="str">
        <f t="shared" si="1"/>
        <v>_2025_</v>
      </c>
      <c r="J246" s="10" t="str">
        <f t="shared" si="2"/>
        <v>_6_</v>
      </c>
    </row>
    <row r="247" hidden="1">
      <c r="A247" s="5">
        <v>45810.0</v>
      </c>
      <c r="B247" s="6" t="s">
        <v>159</v>
      </c>
      <c r="C247" s="6" t="s">
        <v>21</v>
      </c>
      <c r="D247" s="7">
        <v>100.0</v>
      </c>
      <c r="E247" s="6" t="s">
        <v>12</v>
      </c>
      <c r="F247" s="11"/>
      <c r="G247" s="11"/>
      <c r="H247" s="6" t="s">
        <v>248</v>
      </c>
      <c r="I247" s="10" t="str">
        <f t="shared" si="1"/>
        <v>_2025_</v>
      </c>
      <c r="J247" s="10" t="str">
        <f t="shared" si="2"/>
        <v>_6_</v>
      </c>
    </row>
    <row r="248" hidden="1">
      <c r="A248" s="5">
        <v>45810.0</v>
      </c>
      <c r="B248" s="6" t="s">
        <v>159</v>
      </c>
      <c r="C248" s="6" t="s">
        <v>249</v>
      </c>
      <c r="D248" s="7">
        <v>50.0</v>
      </c>
      <c r="E248" s="6" t="s">
        <v>12</v>
      </c>
      <c r="F248" s="11"/>
      <c r="G248" s="11"/>
      <c r="H248" s="6" t="s">
        <v>250</v>
      </c>
      <c r="I248" s="10" t="str">
        <f t="shared" si="1"/>
        <v>_2025_</v>
      </c>
      <c r="J248" s="10" t="str">
        <f t="shared" si="2"/>
        <v>_6_</v>
      </c>
    </row>
    <row r="249" hidden="1">
      <c r="A249" s="5">
        <v>45810.0</v>
      </c>
      <c r="B249" s="6" t="s">
        <v>159</v>
      </c>
      <c r="C249" s="6" t="s">
        <v>20</v>
      </c>
      <c r="D249" s="7">
        <v>50.0</v>
      </c>
      <c r="E249" s="6" t="s">
        <v>12</v>
      </c>
      <c r="F249" s="11"/>
      <c r="G249" s="11"/>
      <c r="H249" s="6" t="s">
        <v>251</v>
      </c>
      <c r="I249" s="10" t="str">
        <f t="shared" si="1"/>
        <v>_2025_</v>
      </c>
      <c r="J249" s="10" t="str">
        <f t="shared" si="2"/>
        <v>_6_</v>
      </c>
    </row>
    <row r="250" hidden="1">
      <c r="A250" s="5">
        <v>45810.0</v>
      </c>
      <c r="B250" s="6" t="s">
        <v>159</v>
      </c>
      <c r="C250" s="6" t="s">
        <v>20</v>
      </c>
      <c r="D250" s="7">
        <v>45.0</v>
      </c>
      <c r="E250" s="6" t="s">
        <v>12</v>
      </c>
      <c r="F250" s="11"/>
      <c r="G250" s="11"/>
      <c r="H250" s="6" t="s">
        <v>252</v>
      </c>
      <c r="I250" s="10" t="str">
        <f t="shared" si="1"/>
        <v>_2025_</v>
      </c>
      <c r="J250" s="10" t="str">
        <f t="shared" si="2"/>
        <v>_6_</v>
      </c>
    </row>
    <row r="251" hidden="1">
      <c r="A251" s="5">
        <v>45810.0</v>
      </c>
      <c r="B251" s="6" t="s">
        <v>159</v>
      </c>
      <c r="C251" s="6" t="s">
        <v>75</v>
      </c>
      <c r="D251" s="7">
        <v>40.0</v>
      </c>
      <c r="E251" s="6" t="s">
        <v>150</v>
      </c>
      <c r="F251" s="11"/>
      <c r="G251" s="11"/>
      <c r="H251" s="6" t="s">
        <v>253</v>
      </c>
      <c r="I251" s="10" t="str">
        <f t="shared" si="1"/>
        <v>_2025_</v>
      </c>
      <c r="J251" s="10" t="str">
        <f t="shared" si="2"/>
        <v>_6_</v>
      </c>
    </row>
    <row r="252" hidden="1">
      <c r="A252" s="5">
        <v>45812.0</v>
      </c>
      <c r="B252" s="6" t="s">
        <v>20</v>
      </c>
      <c r="C252" s="6" t="s">
        <v>25</v>
      </c>
      <c r="D252" s="7">
        <v>121.0</v>
      </c>
      <c r="E252" s="6" t="s">
        <v>12</v>
      </c>
      <c r="F252" s="11"/>
      <c r="G252" s="11"/>
      <c r="H252" s="6" t="s">
        <v>254</v>
      </c>
      <c r="I252" s="10" t="str">
        <f t="shared" si="1"/>
        <v>_2025_</v>
      </c>
      <c r="J252" s="10" t="str">
        <f t="shared" si="2"/>
        <v>_6_</v>
      </c>
    </row>
    <row r="253" hidden="1">
      <c r="A253" s="5">
        <v>45812.0</v>
      </c>
      <c r="B253" s="6" t="s">
        <v>20</v>
      </c>
      <c r="C253" s="6" t="s">
        <v>25</v>
      </c>
      <c r="D253" s="17">
        <f>30+50+14+20</f>
        <v>114</v>
      </c>
      <c r="E253" s="6" t="s">
        <v>12</v>
      </c>
      <c r="F253" s="11"/>
      <c r="G253" s="11"/>
      <c r="H253" s="6" t="s">
        <v>255</v>
      </c>
      <c r="I253" s="10" t="str">
        <f t="shared" si="1"/>
        <v>_2025_</v>
      </c>
      <c r="J253" s="10" t="str">
        <f t="shared" si="2"/>
        <v>_6_</v>
      </c>
    </row>
    <row r="254" hidden="1">
      <c r="A254" s="5">
        <v>45812.0</v>
      </c>
      <c r="B254" s="6" t="s">
        <v>20</v>
      </c>
      <c r="C254" s="6" t="s">
        <v>25</v>
      </c>
      <c r="D254" s="7">
        <v>48.0</v>
      </c>
      <c r="E254" s="6" t="s">
        <v>150</v>
      </c>
      <c r="F254" s="11"/>
      <c r="G254" s="11"/>
      <c r="H254" s="6" t="s">
        <v>256</v>
      </c>
      <c r="I254" s="10" t="str">
        <f t="shared" si="1"/>
        <v>_2025_</v>
      </c>
      <c r="J254" s="10" t="str">
        <f t="shared" si="2"/>
        <v>_6_</v>
      </c>
    </row>
    <row r="255" hidden="1">
      <c r="A255" s="5">
        <v>45811.0</v>
      </c>
      <c r="B255" s="6" t="s">
        <v>20</v>
      </c>
      <c r="C255" s="6" t="s">
        <v>25</v>
      </c>
      <c r="D255" s="7">
        <v>224.1</v>
      </c>
      <c r="E255" s="6" t="s">
        <v>55</v>
      </c>
      <c r="F255" s="6" t="s">
        <v>18</v>
      </c>
      <c r="G255" s="11"/>
      <c r="H255" s="6" t="s">
        <v>257</v>
      </c>
      <c r="I255" s="10" t="str">
        <f t="shared" si="1"/>
        <v>_2025_</v>
      </c>
      <c r="J255" s="10" t="str">
        <f t="shared" si="2"/>
        <v>_6_</v>
      </c>
    </row>
    <row r="256" hidden="1">
      <c r="A256" s="5">
        <v>45812.0</v>
      </c>
      <c r="B256" s="6" t="s">
        <v>23</v>
      </c>
      <c r="C256" s="6" t="s">
        <v>21</v>
      </c>
      <c r="D256" s="7">
        <v>2000.0</v>
      </c>
      <c r="E256" s="6" t="s">
        <v>12</v>
      </c>
      <c r="F256" s="11"/>
      <c r="G256" s="11"/>
      <c r="H256" s="6" t="s">
        <v>258</v>
      </c>
      <c r="I256" s="10" t="str">
        <f t="shared" si="1"/>
        <v>_2025_</v>
      </c>
      <c r="J256" s="10" t="str">
        <f t="shared" si="2"/>
        <v>_6_</v>
      </c>
    </row>
    <row r="257" hidden="1">
      <c r="A257" s="5">
        <v>45812.0</v>
      </c>
      <c r="B257" s="6" t="s">
        <v>23</v>
      </c>
      <c r="C257" s="6" t="s">
        <v>21</v>
      </c>
      <c r="D257" s="7">
        <v>1000.0</v>
      </c>
      <c r="E257" s="6" t="s">
        <v>12</v>
      </c>
      <c r="F257" s="11"/>
      <c r="G257" s="11"/>
      <c r="H257" s="6" t="s">
        <v>127</v>
      </c>
      <c r="I257" s="10" t="str">
        <f t="shared" si="1"/>
        <v>_2025_</v>
      </c>
      <c r="J257" s="10" t="str">
        <f t="shared" si="2"/>
        <v>_6_</v>
      </c>
    </row>
    <row r="258" hidden="1">
      <c r="A258" s="5">
        <v>45814.0</v>
      </c>
      <c r="B258" s="6" t="s">
        <v>20</v>
      </c>
      <c r="C258" s="6" t="s">
        <v>25</v>
      </c>
      <c r="D258" s="7">
        <v>211.1</v>
      </c>
      <c r="E258" s="6" t="s">
        <v>17</v>
      </c>
      <c r="F258" s="6" t="s">
        <v>18</v>
      </c>
      <c r="G258" s="6" t="s">
        <v>259</v>
      </c>
      <c r="H258" s="6" t="s">
        <v>260</v>
      </c>
      <c r="I258" s="10" t="str">
        <f t="shared" si="1"/>
        <v>_2025_</v>
      </c>
      <c r="J258" s="10" t="str">
        <f t="shared" si="2"/>
        <v>_6_</v>
      </c>
    </row>
    <row r="259" hidden="1">
      <c r="A259" s="5">
        <v>45814.0</v>
      </c>
      <c r="B259" s="6" t="s">
        <v>20</v>
      </c>
      <c r="C259" s="6" t="s">
        <v>31</v>
      </c>
      <c r="D259" s="7">
        <v>22.0</v>
      </c>
      <c r="E259" s="6" t="s">
        <v>12</v>
      </c>
      <c r="F259" s="11"/>
      <c r="G259" s="6" t="s">
        <v>47</v>
      </c>
      <c r="H259" s="6" t="s">
        <v>261</v>
      </c>
      <c r="I259" s="10" t="str">
        <f t="shared" si="1"/>
        <v>_2025_</v>
      </c>
      <c r="J259" s="10" t="str">
        <f t="shared" si="2"/>
        <v>_6_</v>
      </c>
    </row>
    <row r="260" hidden="1">
      <c r="A260" s="5">
        <v>45814.0</v>
      </c>
      <c r="B260" s="6" t="s">
        <v>20</v>
      </c>
      <c r="C260" s="6" t="s">
        <v>32</v>
      </c>
      <c r="D260" s="7">
        <v>28.0</v>
      </c>
      <c r="E260" s="6" t="s">
        <v>12</v>
      </c>
      <c r="F260" s="11"/>
      <c r="G260" s="6" t="s">
        <v>47</v>
      </c>
      <c r="H260" s="6" t="s">
        <v>262</v>
      </c>
      <c r="I260" s="10" t="str">
        <f t="shared" si="1"/>
        <v>_2025_</v>
      </c>
      <c r="J260" s="10" t="str">
        <f t="shared" si="2"/>
        <v>_6_</v>
      </c>
    </row>
    <row r="261" hidden="1">
      <c r="A261" s="5">
        <v>45813.0</v>
      </c>
      <c r="B261" s="6" t="s">
        <v>20</v>
      </c>
      <c r="C261" s="6" t="s">
        <v>25</v>
      </c>
      <c r="D261" s="7">
        <v>185.0</v>
      </c>
      <c r="E261" s="6" t="s">
        <v>17</v>
      </c>
      <c r="F261" s="6" t="s">
        <v>18</v>
      </c>
      <c r="G261" s="11"/>
      <c r="H261" s="6" t="s">
        <v>263</v>
      </c>
      <c r="I261" s="10" t="str">
        <f t="shared" si="1"/>
        <v>_2025_</v>
      </c>
      <c r="J261" s="10" t="str">
        <f t="shared" si="2"/>
        <v>_6_</v>
      </c>
    </row>
    <row r="262" hidden="1">
      <c r="A262" s="5">
        <v>45814.0</v>
      </c>
      <c r="B262" s="6" t="s">
        <v>39</v>
      </c>
      <c r="C262" s="6" t="s">
        <v>114</v>
      </c>
      <c r="D262" s="7">
        <v>249.0</v>
      </c>
      <c r="E262" s="6" t="s">
        <v>55</v>
      </c>
      <c r="F262" s="6" t="s">
        <v>18</v>
      </c>
      <c r="G262" s="11"/>
      <c r="H262" s="6" t="s">
        <v>264</v>
      </c>
      <c r="I262" s="10" t="str">
        <f t="shared" si="1"/>
        <v>_2025_</v>
      </c>
      <c r="J262" s="10" t="str">
        <f t="shared" si="2"/>
        <v>_6_</v>
      </c>
    </row>
    <row r="263" hidden="1">
      <c r="A263" s="5">
        <v>45814.0</v>
      </c>
      <c r="B263" s="6" t="s">
        <v>27</v>
      </c>
      <c r="C263" s="6" t="s">
        <v>116</v>
      </c>
      <c r="D263" s="7">
        <v>470.0</v>
      </c>
      <c r="E263" s="6" t="s">
        <v>55</v>
      </c>
      <c r="F263" s="6" t="s">
        <v>18</v>
      </c>
      <c r="G263" s="11"/>
      <c r="H263" s="6" t="s">
        <v>265</v>
      </c>
      <c r="I263" s="10" t="str">
        <f t="shared" si="1"/>
        <v>_2025_</v>
      </c>
      <c r="J263" s="10" t="str">
        <f t="shared" si="2"/>
        <v>_6_</v>
      </c>
    </row>
    <row r="264" hidden="1">
      <c r="A264" s="5">
        <v>45814.0</v>
      </c>
      <c r="B264" s="6" t="s">
        <v>27</v>
      </c>
      <c r="C264" s="6" t="s">
        <v>28</v>
      </c>
      <c r="D264" s="7">
        <v>687.0</v>
      </c>
      <c r="E264" s="6" t="s">
        <v>55</v>
      </c>
      <c r="F264" s="6" t="s">
        <v>18</v>
      </c>
      <c r="G264" s="11"/>
      <c r="H264" s="6" t="s">
        <v>266</v>
      </c>
      <c r="I264" s="10" t="str">
        <f t="shared" si="1"/>
        <v>_2025_</v>
      </c>
      <c r="J264" s="10" t="str">
        <f t="shared" si="2"/>
        <v>_6_</v>
      </c>
    </row>
    <row r="265" hidden="1">
      <c r="A265" s="5">
        <v>45814.0</v>
      </c>
      <c r="B265" s="6" t="s">
        <v>27</v>
      </c>
      <c r="C265" s="6" t="s">
        <v>28</v>
      </c>
      <c r="D265" s="7">
        <v>517.0</v>
      </c>
      <c r="E265" s="6" t="s">
        <v>55</v>
      </c>
      <c r="F265" s="6" t="s">
        <v>18</v>
      </c>
      <c r="G265" s="11"/>
      <c r="H265" s="6" t="s">
        <v>267</v>
      </c>
      <c r="I265" s="10" t="str">
        <f t="shared" si="1"/>
        <v>_2025_</v>
      </c>
      <c r="J265" s="10" t="str">
        <f t="shared" si="2"/>
        <v>_6_</v>
      </c>
    </row>
    <row r="266" hidden="1">
      <c r="A266" s="5">
        <v>45814.0</v>
      </c>
      <c r="B266" s="6" t="s">
        <v>27</v>
      </c>
      <c r="C266" s="6" t="s">
        <v>116</v>
      </c>
      <c r="D266" s="7">
        <v>358.0</v>
      </c>
      <c r="E266" s="6" t="s">
        <v>55</v>
      </c>
      <c r="F266" s="6" t="s">
        <v>18</v>
      </c>
      <c r="G266" s="11"/>
      <c r="H266" s="6" t="s">
        <v>268</v>
      </c>
      <c r="I266" s="10" t="str">
        <f t="shared" si="1"/>
        <v>_2025_</v>
      </c>
      <c r="J266" s="10" t="str">
        <f t="shared" si="2"/>
        <v>_6_</v>
      </c>
    </row>
    <row r="267" hidden="1">
      <c r="A267" s="5">
        <v>45814.0</v>
      </c>
      <c r="B267" s="6" t="s">
        <v>39</v>
      </c>
      <c r="C267" s="6" t="s">
        <v>114</v>
      </c>
      <c r="D267" s="7">
        <v>285.0</v>
      </c>
      <c r="E267" s="6" t="s">
        <v>55</v>
      </c>
      <c r="F267" s="6" t="s">
        <v>18</v>
      </c>
      <c r="G267" s="11"/>
      <c r="H267" s="6" t="s">
        <v>269</v>
      </c>
      <c r="I267" s="10" t="str">
        <f t="shared" si="1"/>
        <v>_2025_</v>
      </c>
      <c r="J267" s="10" t="str">
        <f t="shared" si="2"/>
        <v>_6_</v>
      </c>
    </row>
    <row r="268" hidden="1">
      <c r="A268" s="5">
        <v>45814.0</v>
      </c>
      <c r="B268" s="6" t="s">
        <v>42</v>
      </c>
      <c r="C268" s="6" t="s">
        <v>43</v>
      </c>
      <c r="D268" s="7">
        <v>19.0</v>
      </c>
      <c r="E268" s="6" t="s">
        <v>55</v>
      </c>
      <c r="F268" s="6" t="s">
        <v>18</v>
      </c>
      <c r="G268" s="11"/>
      <c r="H268" s="6" t="s">
        <v>44</v>
      </c>
      <c r="I268" s="10" t="str">
        <f t="shared" si="1"/>
        <v>_2025_</v>
      </c>
      <c r="J268" s="10" t="str">
        <f t="shared" si="2"/>
        <v>_6_</v>
      </c>
    </row>
    <row r="269" hidden="1">
      <c r="A269" s="5">
        <v>45814.0</v>
      </c>
      <c r="B269" s="6" t="s">
        <v>20</v>
      </c>
      <c r="C269" s="6" t="s">
        <v>25</v>
      </c>
      <c r="D269" s="7">
        <v>59.0</v>
      </c>
      <c r="E269" s="6" t="s">
        <v>12</v>
      </c>
      <c r="F269" s="11"/>
      <c r="G269" s="6" t="s">
        <v>47</v>
      </c>
      <c r="H269" s="6" t="s">
        <v>270</v>
      </c>
      <c r="I269" s="10" t="str">
        <f t="shared" si="1"/>
        <v>_2025_</v>
      </c>
      <c r="J269" s="10" t="str">
        <f t="shared" si="2"/>
        <v>_6_</v>
      </c>
    </row>
    <row r="270" hidden="1">
      <c r="A270" s="5">
        <v>45814.0</v>
      </c>
      <c r="B270" s="6" t="s">
        <v>20</v>
      </c>
      <c r="C270" s="6" t="s">
        <v>32</v>
      </c>
      <c r="D270" s="17">
        <f>17+18</f>
        <v>35</v>
      </c>
      <c r="E270" s="6" t="s">
        <v>12</v>
      </c>
      <c r="F270" s="11"/>
      <c r="G270" s="18"/>
      <c r="H270" s="6" t="s">
        <v>271</v>
      </c>
      <c r="I270" s="10" t="str">
        <f t="shared" si="1"/>
        <v>_2025_</v>
      </c>
      <c r="J270" s="10" t="str">
        <f t="shared" si="2"/>
        <v>_6_</v>
      </c>
    </row>
    <row r="271" hidden="1">
      <c r="A271" s="5">
        <v>45814.0</v>
      </c>
      <c r="B271" s="6" t="s">
        <v>272</v>
      </c>
      <c r="C271" s="6" t="s">
        <v>273</v>
      </c>
      <c r="D271" s="7">
        <v>21355.8</v>
      </c>
      <c r="E271" s="6" t="s">
        <v>51</v>
      </c>
      <c r="F271" s="6" t="s">
        <v>18</v>
      </c>
      <c r="G271" s="11"/>
      <c r="H271" s="6" t="s">
        <v>274</v>
      </c>
      <c r="I271" s="10" t="str">
        <f t="shared" si="1"/>
        <v>_2025_</v>
      </c>
      <c r="J271" s="10" t="str">
        <f t="shared" si="2"/>
        <v>_6_</v>
      </c>
    </row>
    <row r="272" hidden="1">
      <c r="A272" s="5">
        <v>45814.0</v>
      </c>
      <c r="B272" s="6" t="s">
        <v>20</v>
      </c>
      <c r="C272" s="6" t="s">
        <v>31</v>
      </c>
      <c r="D272" s="7">
        <v>30.0</v>
      </c>
      <c r="E272" s="6" t="s">
        <v>12</v>
      </c>
      <c r="F272" s="11"/>
      <c r="G272" s="11"/>
      <c r="H272" s="6" t="s">
        <v>134</v>
      </c>
      <c r="I272" s="10" t="str">
        <f t="shared" si="1"/>
        <v>_2025_</v>
      </c>
      <c r="J272" s="10" t="str">
        <f t="shared" si="2"/>
        <v>_6_</v>
      </c>
    </row>
    <row r="273" hidden="1">
      <c r="A273" s="5">
        <v>45815.0</v>
      </c>
      <c r="B273" s="6" t="s">
        <v>20</v>
      </c>
      <c r="C273" s="6" t="s">
        <v>25</v>
      </c>
      <c r="D273" s="7">
        <v>124.0</v>
      </c>
      <c r="E273" s="6" t="s">
        <v>55</v>
      </c>
      <c r="F273" s="6" t="s">
        <v>18</v>
      </c>
      <c r="G273" s="6" t="s">
        <v>30</v>
      </c>
      <c r="H273" s="11"/>
      <c r="I273" s="10" t="str">
        <f t="shared" si="1"/>
        <v>_2025_</v>
      </c>
      <c r="J273" s="10" t="str">
        <f t="shared" si="2"/>
        <v>_6_</v>
      </c>
    </row>
    <row r="274" hidden="1">
      <c r="A274" s="5">
        <v>45815.0</v>
      </c>
      <c r="B274" s="6" t="s">
        <v>20</v>
      </c>
      <c r="C274" s="6" t="s">
        <v>35</v>
      </c>
      <c r="D274" s="7">
        <v>283.0</v>
      </c>
      <c r="E274" s="6" t="s">
        <v>55</v>
      </c>
      <c r="F274" s="6" t="s">
        <v>18</v>
      </c>
      <c r="G274" s="6" t="s">
        <v>36</v>
      </c>
      <c r="H274" s="6" t="s">
        <v>275</v>
      </c>
      <c r="I274" s="10" t="str">
        <f t="shared" si="1"/>
        <v>_2025_</v>
      </c>
      <c r="J274" s="10" t="str">
        <f t="shared" si="2"/>
        <v>_6_</v>
      </c>
    </row>
    <row r="275" hidden="1">
      <c r="A275" s="5">
        <v>45815.0</v>
      </c>
      <c r="B275" s="6" t="s">
        <v>20</v>
      </c>
      <c r="C275" s="6" t="s">
        <v>32</v>
      </c>
      <c r="D275" s="7">
        <v>58.0</v>
      </c>
      <c r="E275" s="6" t="s">
        <v>55</v>
      </c>
      <c r="F275" s="6" t="s">
        <v>18</v>
      </c>
      <c r="G275" s="6" t="s">
        <v>36</v>
      </c>
      <c r="H275" s="6" t="s">
        <v>78</v>
      </c>
      <c r="I275" s="10" t="str">
        <f t="shared" si="1"/>
        <v>_2025_</v>
      </c>
      <c r="J275" s="10" t="str">
        <f t="shared" si="2"/>
        <v>_6_</v>
      </c>
    </row>
    <row r="276" hidden="1">
      <c r="A276" s="5">
        <v>45815.0</v>
      </c>
      <c r="B276" s="6" t="s">
        <v>20</v>
      </c>
      <c r="C276" s="6" t="s">
        <v>31</v>
      </c>
      <c r="D276" s="7">
        <v>29.0</v>
      </c>
      <c r="E276" s="6" t="s">
        <v>55</v>
      </c>
      <c r="F276" s="6" t="s">
        <v>18</v>
      </c>
      <c r="G276" s="6" t="s">
        <v>36</v>
      </c>
      <c r="H276" s="6" t="s">
        <v>276</v>
      </c>
      <c r="I276" s="10" t="str">
        <f t="shared" si="1"/>
        <v>_2025_</v>
      </c>
      <c r="J276" s="10" t="str">
        <f t="shared" si="2"/>
        <v>_6_</v>
      </c>
    </row>
    <row r="277" hidden="1">
      <c r="A277" s="5">
        <v>45815.0</v>
      </c>
      <c r="B277" s="6" t="s">
        <v>20</v>
      </c>
      <c r="C277" s="6" t="s">
        <v>35</v>
      </c>
      <c r="D277" s="7">
        <v>75.5</v>
      </c>
      <c r="E277" s="6" t="s">
        <v>55</v>
      </c>
      <c r="F277" s="6" t="s">
        <v>18</v>
      </c>
      <c r="G277" s="6" t="s">
        <v>36</v>
      </c>
      <c r="H277" s="6" t="s">
        <v>277</v>
      </c>
      <c r="I277" s="10" t="str">
        <f t="shared" si="1"/>
        <v>_2025_</v>
      </c>
      <c r="J277" s="10" t="str">
        <f t="shared" si="2"/>
        <v>_6_</v>
      </c>
    </row>
    <row r="278" hidden="1">
      <c r="A278" s="5">
        <v>45816.0</v>
      </c>
      <c r="B278" s="6" t="s">
        <v>20</v>
      </c>
      <c r="C278" s="6" t="s">
        <v>35</v>
      </c>
      <c r="D278" s="7">
        <v>90.0</v>
      </c>
      <c r="E278" s="6" t="s">
        <v>12</v>
      </c>
      <c r="F278" s="11"/>
      <c r="G278" s="6"/>
      <c r="H278" s="6" t="s">
        <v>278</v>
      </c>
      <c r="I278" s="10" t="str">
        <f t="shared" si="1"/>
        <v>_2025_</v>
      </c>
      <c r="J278" s="10" t="str">
        <f t="shared" si="2"/>
        <v>_6_</v>
      </c>
    </row>
    <row r="279" hidden="1">
      <c r="A279" s="5">
        <v>45817.0</v>
      </c>
      <c r="B279" s="6" t="s">
        <v>20</v>
      </c>
      <c r="C279" s="6" t="s">
        <v>25</v>
      </c>
      <c r="D279" s="7">
        <v>50.0</v>
      </c>
      <c r="E279" s="6" t="s">
        <v>12</v>
      </c>
      <c r="F279" s="11"/>
      <c r="G279" s="11"/>
      <c r="H279" s="6" t="s">
        <v>279</v>
      </c>
      <c r="I279" s="10" t="str">
        <f t="shared" si="1"/>
        <v>_2025_</v>
      </c>
      <c r="J279" s="10" t="str">
        <f t="shared" si="2"/>
        <v>_6_</v>
      </c>
    </row>
    <row r="280" hidden="1">
      <c r="A280" s="5">
        <v>45817.0</v>
      </c>
      <c r="B280" s="6" t="s">
        <v>15</v>
      </c>
      <c r="C280" s="6" t="s">
        <v>16</v>
      </c>
      <c r="D280" s="7">
        <v>750.0</v>
      </c>
      <c r="E280" s="6" t="s">
        <v>17</v>
      </c>
      <c r="F280" s="6" t="s">
        <v>18</v>
      </c>
      <c r="G280" s="6" t="s">
        <v>77</v>
      </c>
      <c r="H280" s="6" t="s">
        <v>280</v>
      </c>
      <c r="I280" s="10" t="str">
        <f t="shared" si="1"/>
        <v>_2025_</v>
      </c>
      <c r="J280" s="10" t="str">
        <f t="shared" si="2"/>
        <v>_6_</v>
      </c>
    </row>
    <row r="281" hidden="1">
      <c r="A281" s="5">
        <v>45811.0</v>
      </c>
      <c r="B281" s="6" t="s">
        <v>15</v>
      </c>
      <c r="C281" s="6" t="s">
        <v>144</v>
      </c>
      <c r="D281" s="7">
        <v>1456.0</v>
      </c>
      <c r="E281" s="6" t="s">
        <v>51</v>
      </c>
      <c r="F281" s="6" t="s">
        <v>18</v>
      </c>
      <c r="G281" s="6" t="s">
        <v>281</v>
      </c>
      <c r="H281" s="6" t="s">
        <v>282</v>
      </c>
      <c r="I281" s="10" t="str">
        <f t="shared" si="1"/>
        <v>_2025_</v>
      </c>
      <c r="J281" s="10" t="str">
        <f t="shared" si="2"/>
        <v>_6_</v>
      </c>
    </row>
    <row r="282" hidden="1">
      <c r="A282" s="5">
        <v>45818.0</v>
      </c>
      <c r="B282" s="6" t="s">
        <v>20</v>
      </c>
      <c r="C282" s="6" t="s">
        <v>25</v>
      </c>
      <c r="D282" s="7">
        <v>323.1</v>
      </c>
      <c r="E282" s="6" t="s">
        <v>17</v>
      </c>
      <c r="F282" s="6" t="s">
        <v>18</v>
      </c>
      <c r="G282" s="6" t="s">
        <v>229</v>
      </c>
      <c r="H282" s="6" t="s">
        <v>283</v>
      </c>
      <c r="I282" s="10" t="str">
        <f t="shared" si="1"/>
        <v>_2025_</v>
      </c>
      <c r="J282" s="10" t="str">
        <f t="shared" si="2"/>
        <v>_6_</v>
      </c>
    </row>
    <row r="283" hidden="1">
      <c r="A283" s="5">
        <v>45819.0</v>
      </c>
      <c r="B283" s="6" t="s">
        <v>20</v>
      </c>
      <c r="C283" s="6" t="s">
        <v>25</v>
      </c>
      <c r="D283" s="7">
        <v>80.0</v>
      </c>
      <c r="E283" s="6" t="s">
        <v>12</v>
      </c>
      <c r="F283" s="11"/>
      <c r="G283" s="11"/>
      <c r="H283" s="6" t="s">
        <v>284</v>
      </c>
      <c r="I283" s="10" t="str">
        <f t="shared" si="1"/>
        <v>_2025_</v>
      </c>
      <c r="J283" s="10" t="str">
        <f t="shared" si="2"/>
        <v>_6_</v>
      </c>
    </row>
    <row r="284" hidden="1">
      <c r="A284" s="5">
        <v>45819.0</v>
      </c>
      <c r="B284" s="6" t="s">
        <v>20</v>
      </c>
      <c r="C284" s="6" t="s">
        <v>32</v>
      </c>
      <c r="D284" s="7">
        <v>20.0</v>
      </c>
      <c r="E284" s="6" t="s">
        <v>12</v>
      </c>
      <c r="F284" s="11"/>
      <c r="G284" s="11"/>
      <c r="H284" s="11"/>
      <c r="I284" s="10" t="str">
        <f t="shared" si="1"/>
        <v>_2025_</v>
      </c>
      <c r="J284" s="10" t="str">
        <f t="shared" si="2"/>
        <v>_6_</v>
      </c>
    </row>
    <row r="285" hidden="1">
      <c r="A285" s="5">
        <v>45820.0</v>
      </c>
      <c r="B285" s="6" t="s">
        <v>20</v>
      </c>
      <c r="C285" s="6" t="s">
        <v>32</v>
      </c>
      <c r="D285" s="7">
        <v>50.0</v>
      </c>
      <c r="E285" s="6" t="s">
        <v>55</v>
      </c>
      <c r="F285" s="6" t="s">
        <v>18</v>
      </c>
      <c r="G285" s="6" t="s">
        <v>33</v>
      </c>
      <c r="H285" s="6" t="s">
        <v>34</v>
      </c>
      <c r="I285" s="10" t="str">
        <f t="shared" si="1"/>
        <v>_2025_</v>
      </c>
      <c r="J285" s="10" t="str">
        <f t="shared" si="2"/>
        <v>_6_</v>
      </c>
    </row>
    <row r="286" hidden="1">
      <c r="A286" s="5">
        <v>45820.0</v>
      </c>
      <c r="B286" s="6" t="s">
        <v>15</v>
      </c>
      <c r="C286" s="6" t="s">
        <v>249</v>
      </c>
      <c r="D286" s="7">
        <v>109.0</v>
      </c>
      <c r="E286" s="6" t="s">
        <v>55</v>
      </c>
      <c r="F286" s="6" t="s">
        <v>18</v>
      </c>
      <c r="G286" s="6"/>
      <c r="H286" s="6" t="s">
        <v>285</v>
      </c>
      <c r="I286" s="10" t="str">
        <f t="shared" si="1"/>
        <v>_2025_</v>
      </c>
      <c r="J286" s="10" t="str">
        <f t="shared" si="2"/>
        <v>_6_</v>
      </c>
    </row>
    <row r="287" hidden="1">
      <c r="A287" s="5">
        <v>45818.0</v>
      </c>
      <c r="B287" s="6" t="s">
        <v>20</v>
      </c>
      <c r="C287" s="6" t="s">
        <v>32</v>
      </c>
      <c r="D287" s="7">
        <v>109.0</v>
      </c>
      <c r="E287" s="6" t="s">
        <v>12</v>
      </c>
      <c r="F287" s="11"/>
      <c r="G287" s="6" t="s">
        <v>47</v>
      </c>
      <c r="H287" s="6" t="s">
        <v>201</v>
      </c>
      <c r="I287" s="10" t="str">
        <f t="shared" si="1"/>
        <v>_2025_</v>
      </c>
      <c r="J287" s="10" t="str">
        <f t="shared" si="2"/>
        <v>_6_</v>
      </c>
    </row>
    <row r="288" hidden="1">
      <c r="A288" s="5">
        <v>45820.0</v>
      </c>
      <c r="B288" s="6" t="s">
        <v>20</v>
      </c>
      <c r="C288" s="6" t="s">
        <v>25</v>
      </c>
      <c r="D288" s="7">
        <v>157.0</v>
      </c>
      <c r="E288" s="6" t="s">
        <v>55</v>
      </c>
      <c r="F288" s="6" t="s">
        <v>18</v>
      </c>
      <c r="G288" s="11"/>
      <c r="H288" s="6" t="s">
        <v>286</v>
      </c>
      <c r="I288" s="10" t="str">
        <f t="shared" si="1"/>
        <v>_2025_</v>
      </c>
      <c r="J288" s="10" t="str">
        <f t="shared" si="2"/>
        <v>_6_</v>
      </c>
    </row>
    <row r="289" hidden="1">
      <c r="A289" s="5">
        <v>45821.0</v>
      </c>
      <c r="B289" s="6" t="s">
        <v>42</v>
      </c>
      <c r="C289" s="6" t="s">
        <v>43</v>
      </c>
      <c r="D289" s="17">
        <f>359-(65+65+64+64)</f>
        <v>101</v>
      </c>
      <c r="E289" s="6" t="s">
        <v>55</v>
      </c>
      <c r="F289" s="6" t="s">
        <v>18</v>
      </c>
      <c r="G289" s="6" t="s">
        <v>195</v>
      </c>
      <c r="H289" s="6" t="s">
        <v>287</v>
      </c>
      <c r="I289" s="10" t="str">
        <f t="shared" si="1"/>
        <v>_2025_</v>
      </c>
      <c r="J289" s="10" t="str">
        <f t="shared" si="2"/>
        <v>_6_</v>
      </c>
    </row>
    <row r="290" hidden="1">
      <c r="A290" s="5">
        <v>45821.0</v>
      </c>
      <c r="B290" s="6" t="s">
        <v>58</v>
      </c>
      <c r="C290" s="6" t="s">
        <v>58</v>
      </c>
      <c r="D290" s="17">
        <f>63*2+65+65</f>
        <v>256</v>
      </c>
      <c r="E290" s="6" t="s">
        <v>55</v>
      </c>
      <c r="F290" s="6" t="s">
        <v>18</v>
      </c>
      <c r="G290" s="11"/>
      <c r="H290" s="6" t="s">
        <v>288</v>
      </c>
      <c r="I290" s="10" t="str">
        <f t="shared" si="1"/>
        <v>_2025_</v>
      </c>
      <c r="J290" s="10" t="str">
        <f t="shared" si="2"/>
        <v>_6_</v>
      </c>
    </row>
    <row r="291" hidden="1">
      <c r="A291" s="5">
        <v>45822.0</v>
      </c>
      <c r="B291" s="6" t="s">
        <v>39</v>
      </c>
      <c r="C291" s="6" t="s">
        <v>114</v>
      </c>
      <c r="D291" s="7">
        <v>1030.0</v>
      </c>
      <c r="E291" s="6" t="s">
        <v>12</v>
      </c>
      <c r="F291" s="11"/>
      <c r="G291" s="11"/>
      <c r="H291" s="6" t="s">
        <v>289</v>
      </c>
      <c r="I291" s="10" t="str">
        <f t="shared" si="1"/>
        <v>_2025_</v>
      </c>
      <c r="J291" s="10" t="str">
        <f t="shared" si="2"/>
        <v>_6_</v>
      </c>
    </row>
    <row r="292" hidden="1">
      <c r="A292" s="5">
        <v>45823.0</v>
      </c>
      <c r="B292" s="6" t="s">
        <v>20</v>
      </c>
      <c r="C292" s="6" t="s">
        <v>32</v>
      </c>
      <c r="D292" s="17">
        <f>10+28-7</f>
        <v>31</v>
      </c>
      <c r="E292" s="6" t="s">
        <v>12</v>
      </c>
      <c r="F292" s="11"/>
      <c r="G292" s="6" t="s">
        <v>47</v>
      </c>
      <c r="H292" s="6" t="s">
        <v>290</v>
      </c>
      <c r="I292" s="10" t="str">
        <f t="shared" si="1"/>
        <v>_2025_</v>
      </c>
      <c r="J292" s="10" t="str">
        <f t="shared" si="2"/>
        <v>_6_</v>
      </c>
    </row>
    <row r="293" hidden="1">
      <c r="A293" s="5">
        <v>45823.0</v>
      </c>
      <c r="B293" s="6" t="s">
        <v>20</v>
      </c>
      <c r="C293" s="6" t="s">
        <v>31</v>
      </c>
      <c r="D293" s="17">
        <f>37+45+10-5</f>
        <v>87</v>
      </c>
      <c r="E293" s="6" t="s">
        <v>12</v>
      </c>
      <c r="F293" s="11"/>
      <c r="G293" s="6" t="s">
        <v>47</v>
      </c>
      <c r="H293" s="6" t="s">
        <v>291</v>
      </c>
      <c r="I293" s="10" t="str">
        <f t="shared" si="1"/>
        <v>_2025_</v>
      </c>
      <c r="J293" s="10" t="str">
        <f t="shared" si="2"/>
        <v>_6_</v>
      </c>
    </row>
    <row r="294" hidden="1">
      <c r="A294" s="5">
        <v>45823.0</v>
      </c>
      <c r="B294" s="6" t="s">
        <v>62</v>
      </c>
      <c r="C294" s="6" t="s">
        <v>63</v>
      </c>
      <c r="D294" s="7">
        <v>2685.65</v>
      </c>
      <c r="E294" s="6" t="s">
        <v>12</v>
      </c>
      <c r="F294" s="11"/>
      <c r="G294" s="11"/>
      <c r="H294" s="6" t="s">
        <v>64</v>
      </c>
      <c r="I294" s="10" t="str">
        <f t="shared" si="1"/>
        <v>_2025_</v>
      </c>
      <c r="J294" s="10" t="str">
        <f t="shared" si="2"/>
        <v>_6_</v>
      </c>
    </row>
    <row r="295" hidden="1">
      <c r="A295" s="5">
        <v>45823.0</v>
      </c>
      <c r="B295" s="6" t="s">
        <v>62</v>
      </c>
      <c r="C295" s="6" t="s">
        <v>140</v>
      </c>
      <c r="D295" s="7">
        <v>26.34</v>
      </c>
      <c r="E295" s="6" t="s">
        <v>12</v>
      </c>
      <c r="F295" s="11"/>
      <c r="G295" s="11"/>
      <c r="H295" s="6" t="s">
        <v>292</v>
      </c>
      <c r="I295" s="10" t="str">
        <f t="shared" si="1"/>
        <v>_2025_</v>
      </c>
      <c r="J295" s="10" t="str">
        <f t="shared" si="2"/>
        <v>_6_</v>
      </c>
    </row>
    <row r="296" hidden="1">
      <c r="A296" s="5">
        <v>45795.0</v>
      </c>
      <c r="B296" s="6" t="s">
        <v>42</v>
      </c>
      <c r="C296" s="6" t="s">
        <v>43</v>
      </c>
      <c r="D296" s="17">
        <f>734.38-600</f>
        <v>134.38</v>
      </c>
      <c r="E296" s="6" t="s">
        <v>55</v>
      </c>
      <c r="F296" s="6" t="s">
        <v>18</v>
      </c>
      <c r="G296" s="11"/>
      <c r="H296" s="6" t="s">
        <v>185</v>
      </c>
      <c r="I296" s="10" t="str">
        <f t="shared" si="1"/>
        <v>_2025_</v>
      </c>
      <c r="J296" s="10" t="str">
        <f t="shared" si="2"/>
        <v>_5_</v>
      </c>
    </row>
    <row r="297" hidden="1">
      <c r="A297" s="5">
        <v>45795.0</v>
      </c>
      <c r="B297" s="6" t="s">
        <v>58</v>
      </c>
      <c r="C297" s="6" t="s">
        <v>58</v>
      </c>
      <c r="D297" s="17">
        <f>600</f>
        <v>600</v>
      </c>
      <c r="E297" s="6" t="s">
        <v>55</v>
      </c>
      <c r="F297" s="6" t="s">
        <v>18</v>
      </c>
      <c r="G297" s="11"/>
      <c r="H297" s="6" t="s">
        <v>186</v>
      </c>
      <c r="I297" s="10" t="str">
        <f t="shared" si="1"/>
        <v>_2025_</v>
      </c>
      <c r="J297" s="10" t="str">
        <f t="shared" si="2"/>
        <v>_5_</v>
      </c>
    </row>
    <row r="298" hidden="1">
      <c r="A298" s="5">
        <v>45824.0</v>
      </c>
      <c r="B298" s="6" t="s">
        <v>58</v>
      </c>
      <c r="C298" s="6" t="s">
        <v>58</v>
      </c>
      <c r="D298" s="7">
        <v>300.0</v>
      </c>
      <c r="E298" s="6" t="s">
        <v>55</v>
      </c>
      <c r="F298" s="6" t="s">
        <v>18</v>
      </c>
      <c r="G298" s="11"/>
      <c r="H298" s="6" t="s">
        <v>293</v>
      </c>
      <c r="I298" s="10" t="str">
        <f t="shared" si="1"/>
        <v>_2025_</v>
      </c>
      <c r="J298" s="10" t="str">
        <f t="shared" si="2"/>
        <v>_6_</v>
      </c>
    </row>
    <row r="299" hidden="1">
      <c r="A299" s="5">
        <v>45825.0</v>
      </c>
      <c r="B299" s="6" t="s">
        <v>15</v>
      </c>
      <c r="C299" s="6" t="s">
        <v>144</v>
      </c>
      <c r="D299" s="7">
        <v>1000.0</v>
      </c>
      <c r="E299" s="6" t="s">
        <v>12</v>
      </c>
      <c r="F299" s="11"/>
      <c r="G299" s="11"/>
      <c r="H299" s="6" t="s">
        <v>294</v>
      </c>
      <c r="I299" s="10" t="str">
        <f t="shared" si="1"/>
        <v>_2025_</v>
      </c>
      <c r="J299" s="10" t="str">
        <f t="shared" si="2"/>
        <v>_6_</v>
      </c>
    </row>
    <row r="300" hidden="1">
      <c r="A300" s="5">
        <v>45825.0</v>
      </c>
      <c r="B300" s="6" t="s">
        <v>20</v>
      </c>
      <c r="C300" s="6" t="s">
        <v>25</v>
      </c>
      <c r="D300" s="7">
        <v>165.75</v>
      </c>
      <c r="E300" s="6" t="s">
        <v>12</v>
      </c>
      <c r="F300" s="11"/>
      <c r="G300" s="11"/>
      <c r="H300" s="6" t="s">
        <v>295</v>
      </c>
      <c r="I300" s="10" t="str">
        <f t="shared" si="1"/>
        <v>_2025_</v>
      </c>
      <c r="J300" s="10" t="str">
        <f t="shared" si="2"/>
        <v>_6_</v>
      </c>
    </row>
    <row r="301" hidden="1">
      <c r="A301" s="5">
        <v>45825.0</v>
      </c>
      <c r="B301" s="6" t="s">
        <v>23</v>
      </c>
      <c r="C301" s="6" t="s">
        <v>21</v>
      </c>
      <c r="D301" s="7">
        <v>286.0</v>
      </c>
      <c r="E301" s="6" t="s">
        <v>12</v>
      </c>
      <c r="F301" s="11"/>
      <c r="G301" s="11"/>
      <c r="H301" s="6" t="s">
        <v>296</v>
      </c>
      <c r="I301" s="10" t="str">
        <f t="shared" si="1"/>
        <v>_2025_</v>
      </c>
      <c r="J301" s="10" t="str">
        <f t="shared" si="2"/>
        <v>_6_</v>
      </c>
    </row>
    <row r="302" hidden="1">
      <c r="A302" s="5">
        <v>45825.0</v>
      </c>
      <c r="B302" s="6" t="s">
        <v>20</v>
      </c>
      <c r="C302" s="6" t="s">
        <v>35</v>
      </c>
      <c r="D302" s="7">
        <f>75-40</f>
        <v>35</v>
      </c>
      <c r="E302" s="6" t="s">
        <v>55</v>
      </c>
      <c r="F302" s="6" t="s">
        <v>18</v>
      </c>
      <c r="G302" s="6" t="s">
        <v>36</v>
      </c>
      <c r="H302" s="6" t="s">
        <v>297</v>
      </c>
      <c r="I302" s="10" t="str">
        <f t="shared" si="1"/>
        <v>_2025_</v>
      </c>
      <c r="J302" s="10" t="str">
        <f t="shared" si="2"/>
        <v>_6_</v>
      </c>
    </row>
    <row r="303" hidden="1">
      <c r="A303" s="5">
        <v>45825.0</v>
      </c>
      <c r="B303" s="6" t="s">
        <v>20</v>
      </c>
      <c r="C303" s="6" t="s">
        <v>32</v>
      </c>
      <c r="D303" s="7">
        <v>56.0</v>
      </c>
      <c r="E303" s="6" t="s">
        <v>55</v>
      </c>
      <c r="F303" s="6" t="s">
        <v>18</v>
      </c>
      <c r="G303" s="6" t="s">
        <v>36</v>
      </c>
      <c r="H303" s="6" t="s">
        <v>298</v>
      </c>
      <c r="I303" s="10" t="str">
        <f t="shared" si="1"/>
        <v>_2025_</v>
      </c>
      <c r="J303" s="10" t="str">
        <f t="shared" si="2"/>
        <v>_6_</v>
      </c>
    </row>
    <row r="304" hidden="1">
      <c r="A304" s="5">
        <v>45825.0</v>
      </c>
      <c r="B304" s="6" t="s">
        <v>20</v>
      </c>
      <c r="C304" s="6" t="s">
        <v>31</v>
      </c>
      <c r="D304" s="7">
        <v>15.0</v>
      </c>
      <c r="E304" s="6" t="s">
        <v>55</v>
      </c>
      <c r="F304" s="6" t="s">
        <v>18</v>
      </c>
      <c r="G304" s="6" t="s">
        <v>36</v>
      </c>
      <c r="H304" s="6" t="s">
        <v>299</v>
      </c>
      <c r="I304" s="10" t="str">
        <f t="shared" si="1"/>
        <v>_2025_</v>
      </c>
      <c r="J304" s="10" t="str">
        <f t="shared" si="2"/>
        <v>_6_</v>
      </c>
    </row>
    <row r="305" hidden="1">
      <c r="A305" s="5">
        <v>45825.0</v>
      </c>
      <c r="B305" s="6" t="s">
        <v>20</v>
      </c>
      <c r="C305" s="6" t="s">
        <v>35</v>
      </c>
      <c r="D305" s="7">
        <v>55.0</v>
      </c>
      <c r="E305" s="6" t="s">
        <v>55</v>
      </c>
      <c r="F305" s="6" t="s">
        <v>18</v>
      </c>
      <c r="G305" s="6" t="s">
        <v>36</v>
      </c>
      <c r="H305" s="6" t="s">
        <v>300</v>
      </c>
      <c r="I305" s="10" t="str">
        <f t="shared" si="1"/>
        <v>_2025_</v>
      </c>
      <c r="J305" s="10" t="str">
        <f t="shared" si="2"/>
        <v>_6_</v>
      </c>
    </row>
    <row r="306" hidden="1">
      <c r="A306" s="5">
        <v>45825.0</v>
      </c>
      <c r="B306" s="6" t="s">
        <v>15</v>
      </c>
      <c r="C306" s="6" t="s">
        <v>249</v>
      </c>
      <c r="D306" s="7">
        <v>93.0</v>
      </c>
      <c r="E306" s="6" t="s">
        <v>55</v>
      </c>
      <c r="F306" s="6" t="s">
        <v>18</v>
      </c>
      <c r="G306" s="11"/>
      <c r="H306" s="6" t="s">
        <v>301</v>
      </c>
      <c r="I306" s="10" t="str">
        <f t="shared" si="1"/>
        <v>_2025_</v>
      </c>
      <c r="J306" s="10" t="str">
        <f t="shared" si="2"/>
        <v>_6_</v>
      </c>
    </row>
    <row r="307" hidden="1">
      <c r="A307" s="5">
        <v>45826.0</v>
      </c>
      <c r="B307" s="6" t="s">
        <v>20</v>
      </c>
      <c r="C307" s="6" t="s">
        <v>31</v>
      </c>
      <c r="D307" s="7">
        <v>70.0</v>
      </c>
      <c r="E307" s="6" t="s">
        <v>12</v>
      </c>
      <c r="F307" s="11"/>
      <c r="G307" s="11"/>
      <c r="H307" s="6" t="s">
        <v>302</v>
      </c>
      <c r="I307" s="10" t="str">
        <f t="shared" si="1"/>
        <v>_2025_</v>
      </c>
      <c r="J307" s="10" t="str">
        <f t="shared" si="2"/>
        <v>_6_</v>
      </c>
    </row>
    <row r="308" hidden="1">
      <c r="A308" s="5">
        <v>45827.0</v>
      </c>
      <c r="B308" s="6" t="s">
        <v>15</v>
      </c>
      <c r="C308" s="6" t="s">
        <v>249</v>
      </c>
      <c r="D308" s="7">
        <v>114.0</v>
      </c>
      <c r="E308" s="6" t="s">
        <v>55</v>
      </c>
      <c r="F308" s="6" t="s">
        <v>18</v>
      </c>
      <c r="G308" s="11"/>
      <c r="H308" s="6" t="s">
        <v>303</v>
      </c>
      <c r="I308" s="10" t="str">
        <f t="shared" si="1"/>
        <v>_2025_</v>
      </c>
      <c r="J308" s="10" t="str">
        <f t="shared" si="2"/>
        <v>_6_</v>
      </c>
    </row>
    <row r="309" hidden="1">
      <c r="A309" s="5">
        <v>45827.0</v>
      </c>
      <c r="B309" s="6" t="s">
        <v>20</v>
      </c>
      <c r="C309" s="6" t="s">
        <v>25</v>
      </c>
      <c r="D309" s="7">
        <v>50.0</v>
      </c>
      <c r="E309" s="6" t="s">
        <v>12</v>
      </c>
      <c r="F309" s="11"/>
      <c r="G309" s="6" t="s">
        <v>82</v>
      </c>
      <c r="H309" s="6" t="s">
        <v>119</v>
      </c>
      <c r="I309" s="10" t="str">
        <f t="shared" si="1"/>
        <v>_2025_</v>
      </c>
      <c r="J309" s="10" t="str">
        <f t="shared" si="2"/>
        <v>_6_</v>
      </c>
    </row>
    <row r="310" hidden="1">
      <c r="A310" s="5">
        <v>45827.0</v>
      </c>
      <c r="B310" s="6" t="s">
        <v>20</v>
      </c>
      <c r="C310" s="6" t="s">
        <v>32</v>
      </c>
      <c r="D310" s="7">
        <v>30.0</v>
      </c>
      <c r="E310" s="6" t="s">
        <v>12</v>
      </c>
      <c r="F310" s="11"/>
      <c r="G310" s="11"/>
      <c r="H310" s="6" t="s">
        <v>304</v>
      </c>
      <c r="I310" s="10" t="str">
        <f t="shared" si="1"/>
        <v>_2025_</v>
      </c>
      <c r="J310" s="10" t="str">
        <f t="shared" si="2"/>
        <v>_6_</v>
      </c>
    </row>
    <row r="311" hidden="1">
      <c r="A311" s="5">
        <v>45827.0</v>
      </c>
      <c r="B311" s="6" t="s">
        <v>20</v>
      </c>
      <c r="C311" s="6" t="s">
        <v>305</v>
      </c>
      <c r="D311" s="7">
        <v>276.0</v>
      </c>
      <c r="E311" s="6" t="s">
        <v>12</v>
      </c>
      <c r="F311" s="11"/>
      <c r="G311" s="6" t="s">
        <v>306</v>
      </c>
      <c r="H311" s="11"/>
      <c r="I311" s="10" t="str">
        <f t="shared" si="1"/>
        <v>_2025_</v>
      </c>
      <c r="J311" s="10" t="str">
        <f t="shared" si="2"/>
        <v>_6_</v>
      </c>
    </row>
    <row r="312" hidden="1">
      <c r="A312" s="5">
        <v>45827.0</v>
      </c>
      <c r="B312" s="6" t="s">
        <v>21</v>
      </c>
      <c r="C312" s="6" t="s">
        <v>56</v>
      </c>
      <c r="D312" s="7">
        <v>296.39</v>
      </c>
      <c r="E312" s="6" t="s">
        <v>12</v>
      </c>
      <c r="F312" s="11"/>
      <c r="G312" s="6" t="s">
        <v>306</v>
      </c>
      <c r="H312" s="6" t="s">
        <v>307</v>
      </c>
      <c r="I312" s="10" t="str">
        <f t="shared" si="1"/>
        <v>_2025_</v>
      </c>
      <c r="J312" s="10" t="str">
        <f t="shared" si="2"/>
        <v>_6_</v>
      </c>
    </row>
    <row r="313" hidden="1">
      <c r="A313" s="5">
        <v>45828.0</v>
      </c>
      <c r="B313" s="6" t="s">
        <v>20</v>
      </c>
      <c r="C313" s="6" t="s">
        <v>25</v>
      </c>
      <c r="D313" s="7">
        <v>212.1</v>
      </c>
      <c r="E313" s="6" t="s">
        <v>55</v>
      </c>
      <c r="F313" s="6" t="s">
        <v>18</v>
      </c>
      <c r="G313" s="6" t="s">
        <v>259</v>
      </c>
      <c r="H313" s="6" t="s">
        <v>308</v>
      </c>
      <c r="I313" s="10" t="str">
        <f t="shared" si="1"/>
        <v>_2025_</v>
      </c>
      <c r="J313" s="10" t="str">
        <f t="shared" si="2"/>
        <v>_6_</v>
      </c>
    </row>
    <row r="314" hidden="1">
      <c r="A314" s="5">
        <v>45828.0</v>
      </c>
      <c r="B314" s="6" t="s">
        <v>27</v>
      </c>
      <c r="C314" s="6" t="s">
        <v>28</v>
      </c>
      <c r="D314" s="7">
        <v>144.0</v>
      </c>
      <c r="E314" s="6" t="s">
        <v>55</v>
      </c>
      <c r="F314" s="6" t="s">
        <v>18</v>
      </c>
      <c r="G314" s="6" t="s">
        <v>309</v>
      </c>
      <c r="H314" s="6" t="s">
        <v>29</v>
      </c>
      <c r="I314" s="10" t="str">
        <f t="shared" si="1"/>
        <v>_2025_</v>
      </c>
      <c r="J314" s="10" t="str">
        <f t="shared" si="2"/>
        <v>_6_</v>
      </c>
    </row>
    <row r="315" hidden="1">
      <c r="A315" s="5">
        <v>45829.0</v>
      </c>
      <c r="B315" s="6" t="s">
        <v>20</v>
      </c>
      <c r="C315" s="6" t="s">
        <v>35</v>
      </c>
      <c r="D315" s="17">
        <f>42+44+50+34.25</f>
        <v>170.25</v>
      </c>
      <c r="E315" s="6" t="s">
        <v>55</v>
      </c>
      <c r="F315" s="6" t="s">
        <v>18</v>
      </c>
      <c r="G315" s="6" t="s">
        <v>36</v>
      </c>
      <c r="H315" s="6" t="s">
        <v>310</v>
      </c>
      <c r="I315" s="10" t="str">
        <f t="shared" si="1"/>
        <v>_2025_</v>
      </c>
      <c r="J315" s="10" t="str">
        <f t="shared" si="2"/>
        <v>_6_</v>
      </c>
    </row>
    <row r="316" hidden="1">
      <c r="A316" s="5">
        <v>45829.0</v>
      </c>
      <c r="B316" s="6" t="s">
        <v>20</v>
      </c>
      <c r="C316" s="6" t="s">
        <v>31</v>
      </c>
      <c r="D316" s="17">
        <f>14+45+21+20+26</f>
        <v>126</v>
      </c>
      <c r="E316" s="6" t="s">
        <v>55</v>
      </c>
      <c r="F316" s="6" t="s">
        <v>18</v>
      </c>
      <c r="G316" s="6" t="s">
        <v>36</v>
      </c>
      <c r="H316" s="6" t="s">
        <v>311</v>
      </c>
      <c r="I316" s="10" t="str">
        <f t="shared" si="1"/>
        <v>_2025_</v>
      </c>
      <c r="J316" s="10" t="str">
        <f t="shared" si="2"/>
        <v>_6_</v>
      </c>
    </row>
    <row r="317" hidden="1">
      <c r="A317" s="5">
        <v>45829.0</v>
      </c>
      <c r="B317" s="6" t="s">
        <v>27</v>
      </c>
      <c r="C317" s="6" t="s">
        <v>28</v>
      </c>
      <c r="D317" s="7">
        <v>54.0</v>
      </c>
      <c r="E317" s="6" t="s">
        <v>55</v>
      </c>
      <c r="F317" s="6" t="s">
        <v>18</v>
      </c>
      <c r="G317" s="6" t="s">
        <v>36</v>
      </c>
      <c r="H317" s="6" t="s">
        <v>312</v>
      </c>
      <c r="I317" s="10" t="str">
        <f t="shared" si="1"/>
        <v>_2025_</v>
      </c>
      <c r="J317" s="10" t="str">
        <f t="shared" si="2"/>
        <v>_6_</v>
      </c>
    </row>
    <row r="318" hidden="1">
      <c r="A318" s="5">
        <v>45830.0</v>
      </c>
      <c r="B318" s="6" t="s">
        <v>27</v>
      </c>
      <c r="C318" s="6" t="s">
        <v>154</v>
      </c>
      <c r="D318" s="7">
        <v>815.0</v>
      </c>
      <c r="E318" s="6" t="s">
        <v>55</v>
      </c>
      <c r="F318" s="6" t="s">
        <v>18</v>
      </c>
      <c r="G318" s="6" t="s">
        <v>156</v>
      </c>
      <c r="H318" s="6" t="s">
        <v>313</v>
      </c>
      <c r="I318" s="10" t="str">
        <f t="shared" si="1"/>
        <v>_2025_</v>
      </c>
      <c r="J318" s="10" t="str">
        <f t="shared" si="2"/>
        <v>_6_</v>
      </c>
    </row>
    <row r="319" hidden="1">
      <c r="A319" s="5">
        <v>45830.0</v>
      </c>
      <c r="B319" s="6" t="s">
        <v>20</v>
      </c>
      <c r="C319" s="6" t="s">
        <v>35</v>
      </c>
      <c r="D319" s="17">
        <f>35+37+33</f>
        <v>105</v>
      </c>
      <c r="E319" s="6" t="s">
        <v>55</v>
      </c>
      <c r="F319" s="6" t="s">
        <v>18</v>
      </c>
      <c r="G319" s="6" t="s">
        <v>36</v>
      </c>
      <c r="H319" s="6" t="s">
        <v>314</v>
      </c>
      <c r="I319" s="10" t="str">
        <f t="shared" si="1"/>
        <v>_2025_</v>
      </c>
      <c r="J319" s="10" t="str">
        <f t="shared" si="2"/>
        <v>_6_</v>
      </c>
    </row>
    <row r="320" hidden="1">
      <c r="A320" s="5">
        <v>45830.0</v>
      </c>
      <c r="B320" s="6" t="s">
        <v>20</v>
      </c>
      <c r="C320" s="6" t="s">
        <v>32</v>
      </c>
      <c r="D320" s="17">
        <f>56+39+42</f>
        <v>137</v>
      </c>
      <c r="E320" s="6" t="s">
        <v>55</v>
      </c>
      <c r="F320" s="6" t="s">
        <v>18</v>
      </c>
      <c r="G320" s="6" t="s">
        <v>36</v>
      </c>
      <c r="H320" s="11"/>
      <c r="I320" s="10" t="str">
        <f t="shared" si="1"/>
        <v>_2025_</v>
      </c>
      <c r="J320" s="10" t="str">
        <f t="shared" si="2"/>
        <v>_6_</v>
      </c>
    </row>
    <row r="321" hidden="1">
      <c r="A321" s="5">
        <v>45829.0</v>
      </c>
      <c r="B321" s="6" t="s">
        <v>15</v>
      </c>
      <c r="C321" s="6" t="s">
        <v>249</v>
      </c>
      <c r="D321" s="7">
        <v>135.0</v>
      </c>
      <c r="E321" s="6" t="s">
        <v>55</v>
      </c>
      <c r="F321" s="6" t="s">
        <v>18</v>
      </c>
      <c r="G321" s="11"/>
      <c r="H321" s="6" t="s">
        <v>315</v>
      </c>
      <c r="I321" s="10" t="str">
        <f t="shared" si="1"/>
        <v>_2025_</v>
      </c>
      <c r="J321" s="10" t="str">
        <f t="shared" si="2"/>
        <v>_6_</v>
      </c>
    </row>
    <row r="322" hidden="1">
      <c r="A322" s="5">
        <v>45830.0</v>
      </c>
      <c r="B322" s="6" t="s">
        <v>15</v>
      </c>
      <c r="C322" s="6" t="s">
        <v>249</v>
      </c>
      <c r="D322" s="7">
        <v>138.0</v>
      </c>
      <c r="E322" s="6" t="s">
        <v>55</v>
      </c>
      <c r="F322" s="6" t="s">
        <v>18</v>
      </c>
      <c r="G322" s="11"/>
      <c r="H322" s="6" t="s">
        <v>316</v>
      </c>
      <c r="I322" s="10" t="str">
        <f t="shared" si="1"/>
        <v>_2025_</v>
      </c>
      <c r="J322" s="10" t="str">
        <f t="shared" si="2"/>
        <v>_6_</v>
      </c>
    </row>
    <row r="323" hidden="1">
      <c r="A323" s="5">
        <v>45826.0</v>
      </c>
      <c r="B323" s="6" t="s">
        <v>20</v>
      </c>
      <c r="C323" s="6" t="s">
        <v>65</v>
      </c>
      <c r="D323" s="7">
        <f>293.5-47.5</f>
        <v>246</v>
      </c>
      <c r="E323" s="6" t="s">
        <v>12</v>
      </c>
      <c r="F323" s="11"/>
      <c r="G323" s="11"/>
      <c r="H323" s="6" t="s">
        <v>317</v>
      </c>
      <c r="I323" s="10" t="str">
        <f t="shared" si="1"/>
        <v>_2025_</v>
      </c>
      <c r="J323" s="10" t="str">
        <f t="shared" si="2"/>
        <v>_6_</v>
      </c>
    </row>
    <row r="324" hidden="1">
      <c r="A324" s="5">
        <v>45829.0</v>
      </c>
      <c r="B324" s="6" t="s">
        <v>20</v>
      </c>
      <c r="C324" s="6" t="s">
        <v>65</v>
      </c>
      <c r="D324" s="7">
        <v>139.5</v>
      </c>
      <c r="E324" s="6" t="s">
        <v>12</v>
      </c>
      <c r="F324" s="11"/>
      <c r="G324" s="11"/>
      <c r="H324" s="6" t="s">
        <v>317</v>
      </c>
      <c r="I324" s="10" t="str">
        <f t="shared" si="1"/>
        <v>_2025_</v>
      </c>
      <c r="J324" s="10" t="str">
        <f t="shared" si="2"/>
        <v>_6_</v>
      </c>
    </row>
    <row r="325" hidden="1">
      <c r="A325" s="5">
        <v>45829.0</v>
      </c>
      <c r="B325" s="6" t="s">
        <v>20</v>
      </c>
      <c r="C325" s="6" t="s">
        <v>65</v>
      </c>
      <c r="D325" s="7">
        <v>385.5</v>
      </c>
      <c r="E325" s="6" t="s">
        <v>12</v>
      </c>
      <c r="F325" s="11"/>
      <c r="G325" s="11"/>
      <c r="H325" s="6" t="s">
        <v>318</v>
      </c>
      <c r="I325" s="10" t="str">
        <f t="shared" si="1"/>
        <v>_2025_</v>
      </c>
      <c r="J325" s="10" t="str">
        <f t="shared" si="2"/>
        <v>_6_</v>
      </c>
    </row>
    <row r="326" hidden="1">
      <c r="A326" s="5">
        <v>45829.0</v>
      </c>
      <c r="B326" s="6" t="s">
        <v>20</v>
      </c>
      <c r="C326" s="6" t="s">
        <v>31</v>
      </c>
      <c r="D326" s="7">
        <v>38.0</v>
      </c>
      <c r="E326" s="6" t="s">
        <v>12</v>
      </c>
      <c r="F326" s="11"/>
      <c r="G326" s="6" t="s">
        <v>47</v>
      </c>
      <c r="H326" s="6" t="s">
        <v>319</v>
      </c>
      <c r="I326" s="10" t="str">
        <f t="shared" si="1"/>
        <v>_2025_</v>
      </c>
      <c r="J326" s="10" t="str">
        <f t="shared" si="2"/>
        <v>_6_</v>
      </c>
    </row>
    <row r="327" hidden="1">
      <c r="A327" s="5">
        <v>45831.0</v>
      </c>
      <c r="B327" s="6" t="s">
        <v>62</v>
      </c>
      <c r="C327" s="6" t="s">
        <v>86</v>
      </c>
      <c r="D327" s="7">
        <v>184.09</v>
      </c>
      <c r="E327" s="6" t="s">
        <v>12</v>
      </c>
      <c r="F327" s="11"/>
      <c r="G327" s="11"/>
      <c r="H327" s="6" t="s">
        <v>320</v>
      </c>
      <c r="I327" s="10" t="str">
        <f t="shared" si="1"/>
        <v>_2025_</v>
      </c>
      <c r="J327" s="10" t="str">
        <f t="shared" si="2"/>
        <v>_6_</v>
      </c>
    </row>
    <row r="328" hidden="1">
      <c r="A328" s="5">
        <v>45831.0</v>
      </c>
      <c r="B328" s="6" t="s">
        <v>62</v>
      </c>
      <c r="C328" s="6" t="s">
        <v>140</v>
      </c>
      <c r="D328" s="7">
        <v>26.34</v>
      </c>
      <c r="E328" s="6" t="s">
        <v>12</v>
      </c>
      <c r="F328" s="11"/>
      <c r="G328" s="11"/>
      <c r="H328" s="6" t="s">
        <v>321</v>
      </c>
      <c r="I328" s="10" t="str">
        <f t="shared" si="1"/>
        <v>_2025_</v>
      </c>
      <c r="J328" s="10" t="str">
        <f t="shared" si="2"/>
        <v>_6_</v>
      </c>
    </row>
    <row r="329" hidden="1">
      <c r="A329" s="5">
        <v>45831.0</v>
      </c>
      <c r="B329" s="6" t="s">
        <v>20</v>
      </c>
      <c r="C329" s="6" t="s">
        <v>25</v>
      </c>
      <c r="D329" s="7">
        <v>50.0</v>
      </c>
      <c r="E329" s="6" t="s">
        <v>12</v>
      </c>
      <c r="F329" s="11"/>
      <c r="G329" s="6" t="s">
        <v>177</v>
      </c>
      <c r="H329" s="11"/>
      <c r="I329" s="10" t="str">
        <f t="shared" si="1"/>
        <v>_2025_</v>
      </c>
      <c r="J329" s="10" t="str">
        <f t="shared" si="2"/>
        <v>_6_</v>
      </c>
    </row>
    <row r="330" hidden="1">
      <c r="A330" s="5">
        <v>45831.0</v>
      </c>
      <c r="B330" s="6" t="s">
        <v>23</v>
      </c>
      <c r="C330" s="6" t="s">
        <v>91</v>
      </c>
      <c r="D330" s="7">
        <v>56.75</v>
      </c>
      <c r="E330" s="6" t="s">
        <v>12</v>
      </c>
      <c r="F330" s="11"/>
      <c r="G330" s="11"/>
      <c r="H330" s="6" t="s">
        <v>322</v>
      </c>
      <c r="I330" s="10" t="str">
        <f t="shared" si="1"/>
        <v>_2025_</v>
      </c>
      <c r="J330" s="10" t="str">
        <f t="shared" si="2"/>
        <v>_6_</v>
      </c>
    </row>
    <row r="331" hidden="1">
      <c r="A331" s="5">
        <v>45831.0</v>
      </c>
      <c r="B331" s="6" t="s">
        <v>20</v>
      </c>
      <c r="C331" s="6" t="s">
        <v>32</v>
      </c>
      <c r="D331" s="7">
        <f>15+10</f>
        <v>25</v>
      </c>
      <c r="E331" s="6" t="s">
        <v>12</v>
      </c>
      <c r="F331" s="11"/>
      <c r="G331" s="6" t="s">
        <v>47</v>
      </c>
      <c r="H331" s="6" t="s">
        <v>323</v>
      </c>
      <c r="I331" s="10" t="str">
        <f t="shared" si="1"/>
        <v>_2025_</v>
      </c>
      <c r="J331" s="10" t="str">
        <f t="shared" si="2"/>
        <v>_6_</v>
      </c>
    </row>
    <row r="332" hidden="1">
      <c r="A332" s="5">
        <v>45831.0</v>
      </c>
      <c r="B332" s="6" t="s">
        <v>20</v>
      </c>
      <c r="C332" s="6" t="s">
        <v>31</v>
      </c>
      <c r="D332" s="7">
        <v>22.0</v>
      </c>
      <c r="E332" s="6" t="s">
        <v>12</v>
      </c>
      <c r="F332" s="11"/>
      <c r="G332" s="6" t="s">
        <v>47</v>
      </c>
      <c r="H332" s="6" t="s">
        <v>48</v>
      </c>
      <c r="I332" s="10" t="str">
        <f t="shared" si="1"/>
        <v>_2025_</v>
      </c>
      <c r="J332" s="10" t="str">
        <f t="shared" si="2"/>
        <v>_6_</v>
      </c>
    </row>
    <row r="333" hidden="1">
      <c r="A333" s="5">
        <v>45832.0</v>
      </c>
      <c r="B333" s="6" t="s">
        <v>20</v>
      </c>
      <c r="C333" s="6" t="s">
        <v>25</v>
      </c>
      <c r="D333" s="7">
        <v>110.0</v>
      </c>
      <c r="E333" s="6" t="s">
        <v>12</v>
      </c>
      <c r="F333" s="11"/>
      <c r="G333" s="6" t="s">
        <v>82</v>
      </c>
      <c r="H333" s="6" t="s">
        <v>187</v>
      </c>
      <c r="I333" s="10" t="str">
        <f t="shared" si="1"/>
        <v>_2025_</v>
      </c>
      <c r="J333" s="10" t="str">
        <f t="shared" si="2"/>
        <v>_6_</v>
      </c>
    </row>
    <row r="334" hidden="1">
      <c r="A334" s="5">
        <v>45833.0</v>
      </c>
      <c r="B334" s="6" t="s">
        <v>23</v>
      </c>
      <c r="C334" s="6" t="s">
        <v>24</v>
      </c>
      <c r="D334" s="7">
        <v>41044.86</v>
      </c>
      <c r="E334" s="6" t="s">
        <v>12</v>
      </c>
      <c r="F334" s="11"/>
      <c r="G334" s="11"/>
      <c r="H334" s="11"/>
      <c r="I334" s="10" t="str">
        <f t="shared" si="1"/>
        <v>_2025_</v>
      </c>
      <c r="J334" s="10" t="str">
        <f t="shared" si="2"/>
        <v>_6_</v>
      </c>
    </row>
    <row r="335" hidden="1">
      <c r="A335" s="5">
        <v>45836.0</v>
      </c>
      <c r="B335" s="6" t="s">
        <v>23</v>
      </c>
      <c r="C335" s="6" t="s">
        <v>112</v>
      </c>
      <c r="D335" s="7">
        <v>194.62</v>
      </c>
      <c r="E335" s="6" t="s">
        <v>12</v>
      </c>
      <c r="F335" s="11"/>
      <c r="G335" s="11"/>
      <c r="H335" s="6" t="s">
        <v>324</v>
      </c>
      <c r="I335" s="10" t="str">
        <f t="shared" si="1"/>
        <v>_2025_</v>
      </c>
      <c r="J335" s="10" t="str">
        <f t="shared" si="2"/>
        <v>_6_</v>
      </c>
    </row>
    <row r="336" hidden="1">
      <c r="A336" s="5">
        <v>45828.0</v>
      </c>
      <c r="B336" s="6" t="s">
        <v>23</v>
      </c>
      <c r="C336" s="6" t="s">
        <v>112</v>
      </c>
      <c r="D336" s="7">
        <v>1.8</v>
      </c>
      <c r="E336" s="6" t="s">
        <v>12</v>
      </c>
      <c r="F336" s="11"/>
      <c r="G336" s="11"/>
      <c r="H336" s="6" t="s">
        <v>325</v>
      </c>
      <c r="I336" s="10" t="str">
        <f t="shared" si="1"/>
        <v>_2025_</v>
      </c>
      <c r="J336" s="10" t="str">
        <f t="shared" si="2"/>
        <v>_6_</v>
      </c>
    </row>
    <row r="337" hidden="1">
      <c r="A337" s="5">
        <v>45833.0</v>
      </c>
      <c r="B337" s="6" t="s">
        <v>21</v>
      </c>
      <c r="C337" s="6" t="s">
        <v>101</v>
      </c>
      <c r="D337" s="7">
        <v>8251.0</v>
      </c>
      <c r="E337" s="6" t="s">
        <v>12</v>
      </c>
      <c r="F337" s="11"/>
      <c r="G337" s="11"/>
      <c r="H337" s="6" t="s">
        <v>326</v>
      </c>
      <c r="I337" s="10" t="str">
        <f t="shared" si="1"/>
        <v>_2025_</v>
      </c>
      <c r="J337" s="10" t="str">
        <f t="shared" si="2"/>
        <v>_6_</v>
      </c>
    </row>
    <row r="338" hidden="1">
      <c r="A338" s="5">
        <v>45833.0</v>
      </c>
      <c r="B338" s="6" t="s">
        <v>21</v>
      </c>
      <c r="C338" s="6" t="s">
        <v>101</v>
      </c>
      <c r="D338" s="7">
        <v>3000.0</v>
      </c>
      <c r="E338" s="6" t="s">
        <v>12</v>
      </c>
      <c r="F338" s="11"/>
      <c r="G338" s="11"/>
      <c r="H338" s="6" t="s">
        <v>105</v>
      </c>
      <c r="I338" s="10" t="str">
        <f t="shared" si="1"/>
        <v>_2025_</v>
      </c>
      <c r="J338" s="10" t="str">
        <f t="shared" si="2"/>
        <v>_6_</v>
      </c>
    </row>
    <row r="339" hidden="1">
      <c r="A339" s="5">
        <v>45833.0</v>
      </c>
      <c r="B339" s="6" t="s">
        <v>10</v>
      </c>
      <c r="C339" s="6" t="s">
        <v>13</v>
      </c>
      <c r="D339" s="7">
        <v>1000.0</v>
      </c>
      <c r="E339" s="6" t="s">
        <v>12</v>
      </c>
      <c r="F339" s="11"/>
      <c r="G339" s="11"/>
      <c r="H339" s="6" t="s">
        <v>213</v>
      </c>
      <c r="I339" s="10" t="str">
        <f t="shared" si="1"/>
        <v>_2025_</v>
      </c>
      <c r="J339" s="10" t="str">
        <f t="shared" si="2"/>
        <v>_6_</v>
      </c>
    </row>
    <row r="340" hidden="1">
      <c r="A340" s="5">
        <v>45833.0</v>
      </c>
      <c r="B340" s="6" t="s">
        <v>42</v>
      </c>
      <c r="C340" s="6" t="s">
        <v>94</v>
      </c>
      <c r="D340" s="7">
        <v>650.0</v>
      </c>
      <c r="E340" s="6" t="s">
        <v>12</v>
      </c>
      <c r="F340" s="11"/>
      <c r="G340" s="11"/>
      <c r="H340" s="11"/>
      <c r="I340" s="10" t="str">
        <f t="shared" si="1"/>
        <v>_2025_</v>
      </c>
      <c r="J340" s="10" t="str">
        <f t="shared" si="2"/>
        <v>_6_</v>
      </c>
    </row>
    <row r="341" hidden="1">
      <c r="A341" s="5">
        <v>45833.0</v>
      </c>
      <c r="B341" s="6" t="s">
        <v>42</v>
      </c>
      <c r="C341" s="6" t="s">
        <v>96</v>
      </c>
      <c r="D341" s="7">
        <v>450.0</v>
      </c>
      <c r="E341" s="6" t="s">
        <v>12</v>
      </c>
      <c r="F341" s="11"/>
      <c r="G341" s="11"/>
      <c r="H341" s="11"/>
      <c r="I341" s="10" t="str">
        <f t="shared" si="1"/>
        <v>_2025_</v>
      </c>
      <c r="J341" s="10" t="str">
        <f t="shared" si="2"/>
        <v>_6_</v>
      </c>
    </row>
    <row r="342" hidden="1">
      <c r="A342" s="5">
        <v>45833.0</v>
      </c>
      <c r="B342" s="6" t="s">
        <v>20</v>
      </c>
      <c r="C342" s="6" t="s">
        <v>25</v>
      </c>
      <c r="D342" s="7">
        <v>80.0</v>
      </c>
      <c r="E342" s="6" t="s">
        <v>12</v>
      </c>
      <c r="F342" s="11"/>
      <c r="G342" s="11"/>
      <c r="H342" s="6" t="s">
        <v>208</v>
      </c>
      <c r="I342" s="10" t="str">
        <f t="shared" si="1"/>
        <v>_2025_</v>
      </c>
      <c r="J342" s="10" t="str">
        <f t="shared" si="2"/>
        <v>_6_</v>
      </c>
    </row>
    <row r="343" hidden="1">
      <c r="A343" s="5">
        <v>45833.0</v>
      </c>
      <c r="B343" s="6" t="s">
        <v>20</v>
      </c>
      <c r="C343" s="6" t="s">
        <v>32</v>
      </c>
      <c r="D343" s="7">
        <v>40.0</v>
      </c>
      <c r="E343" s="6" t="s">
        <v>12</v>
      </c>
      <c r="F343" s="11"/>
      <c r="G343" s="6" t="s">
        <v>327</v>
      </c>
      <c r="H343" s="6" t="s">
        <v>328</v>
      </c>
      <c r="I343" s="10" t="str">
        <f t="shared" si="1"/>
        <v>_2025_</v>
      </c>
      <c r="J343" s="10" t="str">
        <f t="shared" si="2"/>
        <v>_6_</v>
      </c>
    </row>
    <row r="344" hidden="1">
      <c r="A344" s="5">
        <v>45833.0</v>
      </c>
      <c r="B344" s="6" t="s">
        <v>20</v>
      </c>
      <c r="C344" s="6" t="s">
        <v>25</v>
      </c>
      <c r="D344" s="7">
        <v>50.0</v>
      </c>
      <c r="E344" s="6" t="s">
        <v>12</v>
      </c>
      <c r="F344" s="11"/>
      <c r="G344" s="6" t="s">
        <v>177</v>
      </c>
      <c r="H344" s="6" t="s">
        <v>178</v>
      </c>
      <c r="I344" s="10" t="str">
        <f t="shared" si="1"/>
        <v>_2025_</v>
      </c>
      <c r="J344" s="10" t="str">
        <f t="shared" si="2"/>
        <v>_6_</v>
      </c>
    </row>
    <row r="345" hidden="1">
      <c r="A345" s="5">
        <v>45834.0</v>
      </c>
      <c r="B345" s="6" t="s">
        <v>20</v>
      </c>
      <c r="C345" s="6" t="s">
        <v>31</v>
      </c>
      <c r="D345" s="7">
        <v>110.0</v>
      </c>
      <c r="E345" s="6" t="s">
        <v>12</v>
      </c>
      <c r="F345" s="11"/>
      <c r="G345" s="6" t="s">
        <v>47</v>
      </c>
      <c r="H345" s="6" t="s">
        <v>329</v>
      </c>
      <c r="I345" s="10" t="str">
        <f t="shared" si="1"/>
        <v>_2025_</v>
      </c>
      <c r="J345" s="10" t="str">
        <f t="shared" si="2"/>
        <v>_6_</v>
      </c>
    </row>
    <row r="346" hidden="1">
      <c r="A346" s="5">
        <v>45833.0</v>
      </c>
      <c r="B346" s="6" t="s">
        <v>23</v>
      </c>
      <c r="C346" s="6" t="s">
        <v>112</v>
      </c>
      <c r="D346" s="7">
        <v>1.98</v>
      </c>
      <c r="E346" s="6" t="s">
        <v>12</v>
      </c>
      <c r="F346" s="11"/>
      <c r="G346" s="11"/>
      <c r="H346" s="6" t="s">
        <v>330</v>
      </c>
      <c r="I346" s="10" t="str">
        <f t="shared" si="1"/>
        <v>_2025_</v>
      </c>
      <c r="J346" s="10" t="str">
        <f t="shared" si="2"/>
        <v>_6_</v>
      </c>
    </row>
    <row r="347" hidden="1">
      <c r="A347" s="5">
        <v>45828.0</v>
      </c>
      <c r="B347" s="6" t="s">
        <v>23</v>
      </c>
      <c r="C347" s="6" t="s">
        <v>112</v>
      </c>
      <c r="D347" s="7">
        <v>180.03</v>
      </c>
      <c r="E347" s="6" t="s">
        <v>12</v>
      </c>
      <c r="F347" s="11"/>
      <c r="G347" s="11"/>
      <c r="H347" s="6" t="s">
        <v>331</v>
      </c>
      <c r="I347" s="10" t="str">
        <f t="shared" si="1"/>
        <v>_2025_</v>
      </c>
      <c r="J347" s="10" t="str">
        <f t="shared" si="2"/>
        <v>_6_</v>
      </c>
    </row>
    <row r="348" hidden="1">
      <c r="A348" s="5">
        <v>45835.0</v>
      </c>
      <c r="B348" s="6" t="s">
        <v>20</v>
      </c>
      <c r="C348" s="6" t="s">
        <v>25</v>
      </c>
      <c r="D348" s="7">
        <v>159.0</v>
      </c>
      <c r="E348" s="6" t="s">
        <v>55</v>
      </c>
      <c r="F348" s="6" t="s">
        <v>18</v>
      </c>
      <c r="G348" s="6" t="s">
        <v>82</v>
      </c>
      <c r="H348" s="6" t="s">
        <v>332</v>
      </c>
      <c r="I348" s="10" t="str">
        <f t="shared" si="1"/>
        <v>_2025_</v>
      </c>
      <c r="J348" s="10" t="str">
        <f t="shared" si="2"/>
        <v>_6_</v>
      </c>
    </row>
    <row r="349" hidden="1">
      <c r="A349" s="5">
        <v>45835.0</v>
      </c>
      <c r="B349" s="6" t="s">
        <v>20</v>
      </c>
      <c r="C349" s="6" t="s">
        <v>25</v>
      </c>
      <c r="D349" s="7">
        <v>169.0</v>
      </c>
      <c r="E349" s="6" t="s">
        <v>55</v>
      </c>
      <c r="F349" s="6" t="s">
        <v>18</v>
      </c>
      <c r="G349" s="6" t="s">
        <v>30</v>
      </c>
      <c r="H349" s="6" t="s">
        <v>333</v>
      </c>
      <c r="I349" s="10" t="str">
        <f t="shared" si="1"/>
        <v>_2025_</v>
      </c>
      <c r="J349" s="10" t="str">
        <f t="shared" si="2"/>
        <v>_6_</v>
      </c>
    </row>
    <row r="350" hidden="1">
      <c r="A350" s="5">
        <v>45836.0</v>
      </c>
      <c r="B350" s="6" t="s">
        <v>39</v>
      </c>
      <c r="C350" s="6" t="s">
        <v>114</v>
      </c>
      <c r="D350" s="7">
        <v>1411.62</v>
      </c>
      <c r="E350" s="6" t="s">
        <v>17</v>
      </c>
      <c r="F350" s="6" t="s">
        <v>334</v>
      </c>
      <c r="G350" s="6"/>
      <c r="H350" s="6" t="s">
        <v>335</v>
      </c>
      <c r="I350" s="10" t="str">
        <f t="shared" si="1"/>
        <v>_2025_</v>
      </c>
      <c r="J350" s="10" t="str">
        <f t="shared" si="2"/>
        <v>_6_</v>
      </c>
    </row>
    <row r="351" hidden="1">
      <c r="A351" s="5">
        <v>45836.0</v>
      </c>
      <c r="B351" s="6" t="s">
        <v>27</v>
      </c>
      <c r="C351" s="6" t="s">
        <v>336</v>
      </c>
      <c r="D351" s="7">
        <v>422.05</v>
      </c>
      <c r="E351" s="6" t="s">
        <v>17</v>
      </c>
      <c r="F351" s="6" t="s">
        <v>334</v>
      </c>
      <c r="G351" s="11"/>
      <c r="H351" s="6" t="s">
        <v>337</v>
      </c>
      <c r="I351" s="10" t="str">
        <f t="shared" si="1"/>
        <v>_2025_</v>
      </c>
      <c r="J351" s="10" t="str">
        <f t="shared" si="2"/>
        <v>_6_</v>
      </c>
    </row>
    <row r="352" hidden="1">
      <c r="A352" s="5">
        <v>45836.0</v>
      </c>
      <c r="B352" s="6" t="s">
        <v>27</v>
      </c>
      <c r="C352" s="6" t="s">
        <v>28</v>
      </c>
      <c r="D352" s="7">
        <v>60.2</v>
      </c>
      <c r="E352" s="6" t="s">
        <v>17</v>
      </c>
      <c r="F352" s="6" t="s">
        <v>334</v>
      </c>
      <c r="G352" s="11"/>
      <c r="H352" s="6" t="s">
        <v>338</v>
      </c>
      <c r="I352" s="10" t="str">
        <f t="shared" si="1"/>
        <v>_2025_</v>
      </c>
      <c r="J352" s="10" t="str">
        <f t="shared" si="2"/>
        <v>_6_</v>
      </c>
    </row>
    <row r="353" hidden="1">
      <c r="A353" s="5">
        <v>45836.0</v>
      </c>
      <c r="B353" s="6" t="s">
        <v>27</v>
      </c>
      <c r="C353" s="6" t="s">
        <v>336</v>
      </c>
      <c r="D353" s="7">
        <v>962.0</v>
      </c>
      <c r="E353" s="6" t="s">
        <v>17</v>
      </c>
      <c r="F353" s="6" t="s">
        <v>334</v>
      </c>
      <c r="G353" s="11"/>
      <c r="H353" s="6" t="s">
        <v>339</v>
      </c>
      <c r="I353" s="10" t="str">
        <f t="shared" si="1"/>
        <v>_2025_</v>
      </c>
      <c r="J353" s="10" t="str">
        <f t="shared" si="2"/>
        <v>_6_</v>
      </c>
    </row>
    <row r="354" hidden="1">
      <c r="A354" s="5">
        <v>45836.0</v>
      </c>
      <c r="B354" s="6" t="s">
        <v>39</v>
      </c>
      <c r="C354" s="6" t="s">
        <v>114</v>
      </c>
      <c r="D354" s="7">
        <v>56.0</v>
      </c>
      <c r="E354" s="6" t="s">
        <v>17</v>
      </c>
      <c r="F354" s="6" t="s">
        <v>334</v>
      </c>
      <c r="G354" s="11"/>
      <c r="H354" s="6" t="s">
        <v>340</v>
      </c>
      <c r="I354" s="10" t="str">
        <f t="shared" si="1"/>
        <v>_2025_</v>
      </c>
      <c r="J354" s="10" t="str">
        <f t="shared" si="2"/>
        <v>_6_</v>
      </c>
    </row>
    <row r="355" hidden="1">
      <c r="A355" s="5">
        <v>45836.0</v>
      </c>
      <c r="B355" s="6" t="s">
        <v>27</v>
      </c>
      <c r="C355" s="6" t="s">
        <v>116</v>
      </c>
      <c r="D355" s="7">
        <v>186.0</v>
      </c>
      <c r="E355" s="6" t="s">
        <v>17</v>
      </c>
      <c r="F355" s="6" t="s">
        <v>334</v>
      </c>
      <c r="G355" s="11"/>
      <c r="H355" s="6" t="s">
        <v>341</v>
      </c>
      <c r="I355" s="10" t="str">
        <f t="shared" si="1"/>
        <v>_2025_</v>
      </c>
      <c r="J355" s="10" t="str">
        <f t="shared" si="2"/>
        <v>_6_</v>
      </c>
    </row>
    <row r="356" hidden="1">
      <c r="A356" s="5">
        <v>45836.0</v>
      </c>
      <c r="B356" s="6" t="s">
        <v>20</v>
      </c>
      <c r="C356" s="6" t="s">
        <v>32</v>
      </c>
      <c r="D356" s="7">
        <v>24.0</v>
      </c>
      <c r="E356" s="6" t="s">
        <v>12</v>
      </c>
      <c r="F356" s="11"/>
      <c r="G356" s="11"/>
      <c r="H356" s="6" t="s">
        <v>342</v>
      </c>
      <c r="I356" s="10" t="str">
        <f t="shared" si="1"/>
        <v>_2025_</v>
      </c>
      <c r="J356" s="10" t="str">
        <f t="shared" si="2"/>
        <v>_6_</v>
      </c>
    </row>
    <row r="357" hidden="1">
      <c r="A357" s="5">
        <v>45836.0</v>
      </c>
      <c r="B357" s="6" t="s">
        <v>20</v>
      </c>
      <c r="C357" s="6" t="s">
        <v>25</v>
      </c>
      <c r="D357" s="7">
        <v>50.0</v>
      </c>
      <c r="E357" s="6" t="s">
        <v>12</v>
      </c>
      <c r="F357" s="11"/>
      <c r="G357" s="6" t="s">
        <v>177</v>
      </c>
      <c r="H357" s="6"/>
      <c r="I357" s="10" t="str">
        <f t="shared" si="1"/>
        <v>_2025_</v>
      </c>
      <c r="J357" s="10" t="str">
        <f t="shared" si="2"/>
        <v>_6_</v>
      </c>
    </row>
    <row r="358" hidden="1">
      <c r="A358" s="5">
        <v>45836.0</v>
      </c>
      <c r="B358" s="6" t="s">
        <v>20</v>
      </c>
      <c r="C358" s="6" t="s">
        <v>25</v>
      </c>
      <c r="D358" s="7">
        <v>80.0</v>
      </c>
      <c r="E358" s="6" t="s">
        <v>12</v>
      </c>
      <c r="F358" s="11"/>
      <c r="G358" s="11"/>
      <c r="H358" s="6" t="s">
        <v>263</v>
      </c>
      <c r="I358" s="10" t="str">
        <f t="shared" si="1"/>
        <v>_2025_</v>
      </c>
      <c r="J358" s="10" t="str">
        <f t="shared" si="2"/>
        <v>_6_</v>
      </c>
    </row>
    <row r="359" hidden="1">
      <c r="A359" s="5">
        <v>45836.0</v>
      </c>
      <c r="B359" s="6" t="s">
        <v>20</v>
      </c>
      <c r="C359" s="6" t="s">
        <v>35</v>
      </c>
      <c r="D359" s="17">
        <f>193.75-19</f>
        <v>174.75</v>
      </c>
      <c r="E359" s="6" t="s">
        <v>55</v>
      </c>
      <c r="F359" s="6" t="s">
        <v>18</v>
      </c>
      <c r="G359" s="6" t="s">
        <v>36</v>
      </c>
      <c r="H359" s="6" t="s">
        <v>343</v>
      </c>
      <c r="I359" s="10" t="str">
        <f t="shared" si="1"/>
        <v>_2025_</v>
      </c>
      <c r="J359" s="10" t="str">
        <f t="shared" si="2"/>
        <v>_6_</v>
      </c>
    </row>
    <row r="360" hidden="1">
      <c r="A360" s="5">
        <v>45836.0</v>
      </c>
      <c r="B360" s="6" t="s">
        <v>20</v>
      </c>
      <c r="C360" s="6" t="s">
        <v>31</v>
      </c>
      <c r="D360" s="7">
        <v>19.0</v>
      </c>
      <c r="E360" s="6" t="s">
        <v>55</v>
      </c>
      <c r="F360" s="6" t="s">
        <v>18</v>
      </c>
      <c r="G360" s="11"/>
      <c r="H360" s="6" t="s">
        <v>122</v>
      </c>
      <c r="I360" s="10" t="str">
        <f t="shared" si="1"/>
        <v>_2025_</v>
      </c>
      <c r="J360" s="10" t="str">
        <f t="shared" si="2"/>
        <v>_6_</v>
      </c>
    </row>
    <row r="361" hidden="1">
      <c r="A361" s="5">
        <v>45836.0</v>
      </c>
      <c r="B361" s="6" t="s">
        <v>39</v>
      </c>
      <c r="C361" s="6" t="s">
        <v>114</v>
      </c>
      <c r="D361" s="7">
        <v>1916.0</v>
      </c>
      <c r="E361" s="6" t="s">
        <v>55</v>
      </c>
      <c r="F361" s="6" t="s">
        <v>18</v>
      </c>
      <c r="G361" s="6" t="s">
        <v>344</v>
      </c>
      <c r="H361" s="6" t="s">
        <v>345</v>
      </c>
      <c r="I361" s="10" t="str">
        <f t="shared" si="1"/>
        <v>_2025_</v>
      </c>
      <c r="J361" s="10" t="str">
        <f t="shared" si="2"/>
        <v>_6_</v>
      </c>
    </row>
    <row r="362" hidden="1">
      <c r="A362" s="5">
        <v>45837.0</v>
      </c>
      <c r="B362" s="6" t="s">
        <v>20</v>
      </c>
      <c r="C362" s="6" t="s">
        <v>32</v>
      </c>
      <c r="D362" s="7">
        <v>80.0</v>
      </c>
      <c r="E362" s="6" t="s">
        <v>12</v>
      </c>
      <c r="F362" s="11"/>
      <c r="G362" s="6" t="s">
        <v>47</v>
      </c>
      <c r="H362" s="6" t="s">
        <v>346</v>
      </c>
      <c r="I362" s="10" t="str">
        <f t="shared" si="1"/>
        <v>_2025_</v>
      </c>
      <c r="J362" s="10" t="str">
        <f t="shared" si="2"/>
        <v>_6_</v>
      </c>
    </row>
    <row r="363" hidden="1">
      <c r="A363" s="5">
        <v>45837.0</v>
      </c>
      <c r="B363" s="6" t="s">
        <v>27</v>
      </c>
      <c r="C363" s="6" t="s">
        <v>28</v>
      </c>
      <c r="D363" s="7">
        <v>85.0</v>
      </c>
      <c r="E363" s="6" t="s">
        <v>55</v>
      </c>
      <c r="F363" s="6" t="s">
        <v>18</v>
      </c>
      <c r="G363" s="6" t="s">
        <v>36</v>
      </c>
      <c r="H363" s="6" t="s">
        <v>347</v>
      </c>
      <c r="I363" s="10" t="str">
        <f t="shared" si="1"/>
        <v>_2025_</v>
      </c>
      <c r="J363" s="10" t="str">
        <f t="shared" si="2"/>
        <v>_6_</v>
      </c>
    </row>
    <row r="364" hidden="1">
      <c r="A364" s="5">
        <v>45837.0</v>
      </c>
      <c r="B364" s="6" t="s">
        <v>20</v>
      </c>
      <c r="C364" s="6" t="s">
        <v>35</v>
      </c>
      <c r="D364" s="7">
        <v>96.0</v>
      </c>
      <c r="E364" s="6" t="s">
        <v>55</v>
      </c>
      <c r="F364" s="6" t="s">
        <v>18</v>
      </c>
      <c r="G364" s="6" t="s">
        <v>36</v>
      </c>
      <c r="H364" s="6" t="s">
        <v>278</v>
      </c>
      <c r="I364" s="10" t="str">
        <f t="shared" si="1"/>
        <v>_2025_</v>
      </c>
      <c r="J364" s="10" t="str">
        <f t="shared" si="2"/>
        <v>_6_</v>
      </c>
    </row>
    <row r="365" hidden="1">
      <c r="A365" s="5">
        <v>45838.0</v>
      </c>
      <c r="B365" s="6" t="s">
        <v>15</v>
      </c>
      <c r="C365" s="6" t="s">
        <v>249</v>
      </c>
      <c r="D365" s="7">
        <v>930.5</v>
      </c>
      <c r="E365" s="6" t="s">
        <v>12</v>
      </c>
      <c r="F365" s="11"/>
      <c r="G365" s="11"/>
      <c r="H365" s="6" t="s">
        <v>348</v>
      </c>
      <c r="I365" s="10" t="str">
        <f t="shared" si="1"/>
        <v>_2025_</v>
      </c>
      <c r="J365" s="10" t="str">
        <f t="shared" si="2"/>
        <v>_6_</v>
      </c>
    </row>
    <row r="366" hidden="1">
      <c r="A366" s="5">
        <v>45838.0</v>
      </c>
      <c r="B366" s="6" t="s">
        <v>20</v>
      </c>
      <c r="C366" s="6" t="s">
        <v>25</v>
      </c>
      <c r="D366" s="7">
        <v>50.0</v>
      </c>
      <c r="E366" s="6" t="s">
        <v>12</v>
      </c>
      <c r="F366" s="11"/>
      <c r="G366" s="6" t="s">
        <v>177</v>
      </c>
      <c r="H366" s="11"/>
      <c r="I366" s="10" t="str">
        <f t="shared" si="1"/>
        <v>_2025_</v>
      </c>
      <c r="J366" s="10" t="str">
        <f t="shared" si="2"/>
        <v>_6_</v>
      </c>
    </row>
    <row r="367" hidden="1">
      <c r="A367" s="5">
        <v>45839.0</v>
      </c>
      <c r="B367" s="6" t="s">
        <v>23</v>
      </c>
      <c r="C367" s="6" t="s">
        <v>21</v>
      </c>
      <c r="D367" s="7">
        <v>2000.0</v>
      </c>
      <c r="E367" s="6" t="s">
        <v>12</v>
      </c>
      <c r="F367" s="11"/>
      <c r="G367" s="11"/>
      <c r="H367" s="6" t="s">
        <v>349</v>
      </c>
      <c r="I367" s="10" t="str">
        <f t="shared" si="1"/>
        <v>_2025_</v>
      </c>
      <c r="J367" s="10" t="str">
        <f t="shared" si="2"/>
        <v>_7_</v>
      </c>
    </row>
    <row r="368" hidden="1">
      <c r="A368" s="5">
        <v>45839.0</v>
      </c>
      <c r="B368" s="6" t="s">
        <v>23</v>
      </c>
      <c r="C368" s="6" t="s">
        <v>112</v>
      </c>
      <c r="D368" s="17">
        <f>0.09+1.98</f>
        <v>2.07</v>
      </c>
      <c r="E368" s="6" t="s">
        <v>12</v>
      </c>
      <c r="F368" s="11"/>
      <c r="G368" s="11"/>
      <c r="H368" s="6" t="s">
        <v>350</v>
      </c>
      <c r="I368" s="10" t="str">
        <f t="shared" si="1"/>
        <v>_2025_</v>
      </c>
      <c r="J368" s="10" t="str">
        <f t="shared" si="2"/>
        <v>_7_</v>
      </c>
    </row>
    <row r="369" hidden="1">
      <c r="A369" s="5">
        <v>45839.0</v>
      </c>
      <c r="B369" s="6" t="s">
        <v>23</v>
      </c>
      <c r="C369" s="6" t="s">
        <v>112</v>
      </c>
      <c r="D369" s="17">
        <f>(32.55*7.82)+87.52</f>
        <v>342.061</v>
      </c>
      <c r="E369" s="6" t="s">
        <v>12</v>
      </c>
      <c r="F369" s="11"/>
      <c r="G369" s="11"/>
      <c r="H369" s="6" t="s">
        <v>351</v>
      </c>
      <c r="I369" s="10" t="str">
        <f t="shared" si="1"/>
        <v>_2025_</v>
      </c>
      <c r="J369" s="10" t="str">
        <f t="shared" si="2"/>
        <v>_7_</v>
      </c>
    </row>
    <row r="370" hidden="1">
      <c r="A370" s="5">
        <v>45839.0</v>
      </c>
      <c r="B370" s="6" t="s">
        <v>20</v>
      </c>
      <c r="C370" s="6" t="s">
        <v>25</v>
      </c>
      <c r="D370" s="7">
        <v>50.0</v>
      </c>
      <c r="E370" s="6" t="s">
        <v>12</v>
      </c>
      <c r="F370" s="11"/>
      <c r="G370" s="6" t="s">
        <v>82</v>
      </c>
      <c r="H370" s="6" t="s">
        <v>352</v>
      </c>
      <c r="I370" s="10" t="str">
        <f t="shared" si="1"/>
        <v>_2025_</v>
      </c>
      <c r="J370" s="10" t="str">
        <f t="shared" si="2"/>
        <v>_7_</v>
      </c>
    </row>
    <row r="371" hidden="1">
      <c r="A371" s="5">
        <v>45839.0</v>
      </c>
      <c r="B371" s="6" t="s">
        <v>20</v>
      </c>
      <c r="C371" s="6" t="s">
        <v>31</v>
      </c>
      <c r="D371" s="7">
        <v>89.0</v>
      </c>
      <c r="E371" s="6" t="s">
        <v>12</v>
      </c>
      <c r="F371" s="11"/>
      <c r="G371" s="6" t="s">
        <v>47</v>
      </c>
      <c r="H371" s="11"/>
      <c r="I371" s="10" t="str">
        <f t="shared" si="1"/>
        <v>_2025_</v>
      </c>
      <c r="J371" s="10" t="str">
        <f t="shared" si="2"/>
        <v>_7_</v>
      </c>
    </row>
    <row r="372" hidden="1">
      <c r="A372" s="5">
        <v>45839.0</v>
      </c>
      <c r="B372" s="6" t="s">
        <v>20</v>
      </c>
      <c r="C372" s="6" t="s">
        <v>32</v>
      </c>
      <c r="D372" s="7">
        <v>26.0</v>
      </c>
      <c r="E372" s="6" t="s">
        <v>55</v>
      </c>
      <c r="F372" s="6" t="s">
        <v>18</v>
      </c>
      <c r="G372" s="6" t="s">
        <v>36</v>
      </c>
      <c r="H372" s="6" t="s">
        <v>353</v>
      </c>
      <c r="I372" s="10" t="str">
        <f t="shared" si="1"/>
        <v>_2025_</v>
      </c>
      <c r="J372" s="10" t="str">
        <f t="shared" si="2"/>
        <v>_7_</v>
      </c>
    </row>
    <row r="373" hidden="1">
      <c r="A373" s="5">
        <v>45839.0</v>
      </c>
      <c r="B373" s="6" t="s">
        <v>20</v>
      </c>
      <c r="C373" s="6" t="s">
        <v>31</v>
      </c>
      <c r="D373" s="7">
        <v>34.0</v>
      </c>
      <c r="E373" s="6" t="s">
        <v>55</v>
      </c>
      <c r="F373" s="6" t="s">
        <v>18</v>
      </c>
      <c r="G373" s="6" t="s">
        <v>36</v>
      </c>
      <c r="H373" s="6" t="s">
        <v>354</v>
      </c>
      <c r="I373" s="10" t="str">
        <f t="shared" si="1"/>
        <v>_2025_</v>
      </c>
      <c r="J373" s="10" t="str">
        <f t="shared" si="2"/>
        <v>_7_</v>
      </c>
    </row>
    <row r="374" hidden="1">
      <c r="A374" s="5">
        <v>45839.0</v>
      </c>
      <c r="B374" s="6" t="s">
        <v>39</v>
      </c>
      <c r="C374" s="6" t="s">
        <v>114</v>
      </c>
      <c r="D374" s="17">
        <f>113*2</f>
        <v>226</v>
      </c>
      <c r="E374" s="6" t="s">
        <v>55</v>
      </c>
      <c r="F374" s="6" t="s">
        <v>18</v>
      </c>
      <c r="G374" s="6" t="s">
        <v>36</v>
      </c>
      <c r="H374" s="6" t="s">
        <v>355</v>
      </c>
      <c r="I374" s="10" t="str">
        <f t="shared" si="1"/>
        <v>_2025_</v>
      </c>
      <c r="J374" s="10" t="str">
        <f t="shared" si="2"/>
        <v>_7_</v>
      </c>
    </row>
    <row r="375" hidden="1">
      <c r="A375" s="5">
        <v>45838.0</v>
      </c>
      <c r="B375" s="6" t="s">
        <v>39</v>
      </c>
      <c r="C375" s="6" t="s">
        <v>249</v>
      </c>
      <c r="D375" s="7">
        <v>30.0</v>
      </c>
      <c r="E375" s="6" t="s">
        <v>12</v>
      </c>
      <c r="F375" s="11"/>
      <c r="G375" s="6" t="s">
        <v>356</v>
      </c>
      <c r="H375" s="6" t="s">
        <v>357</v>
      </c>
      <c r="I375" s="10" t="str">
        <f t="shared" si="1"/>
        <v>_2025_</v>
      </c>
      <c r="J375" s="10" t="str">
        <f t="shared" si="2"/>
        <v>_6_</v>
      </c>
    </row>
    <row r="376" hidden="1">
      <c r="A376" s="5">
        <v>45840.0</v>
      </c>
      <c r="B376" s="6" t="s">
        <v>20</v>
      </c>
      <c r="C376" s="6" t="s">
        <v>31</v>
      </c>
      <c r="D376" s="7">
        <v>30.0</v>
      </c>
      <c r="E376" s="6" t="s">
        <v>12</v>
      </c>
      <c r="F376" s="11"/>
      <c r="G376" s="11"/>
      <c r="H376" s="6" t="s">
        <v>358</v>
      </c>
      <c r="I376" s="10" t="str">
        <f t="shared" si="1"/>
        <v>_2025_</v>
      </c>
      <c r="J376" s="10" t="str">
        <f t="shared" si="2"/>
        <v>_7_</v>
      </c>
    </row>
    <row r="377" hidden="1">
      <c r="A377" s="5">
        <v>45840.0</v>
      </c>
      <c r="B377" s="6" t="s">
        <v>20</v>
      </c>
      <c r="C377" s="6" t="s">
        <v>31</v>
      </c>
      <c r="D377" s="7">
        <v>114.0</v>
      </c>
      <c r="E377" s="6" t="s">
        <v>12</v>
      </c>
      <c r="F377" s="11"/>
      <c r="G377" s="6" t="s">
        <v>47</v>
      </c>
      <c r="H377" s="11"/>
      <c r="I377" s="10" t="str">
        <f t="shared" si="1"/>
        <v>_2025_</v>
      </c>
      <c r="J377" s="10" t="str">
        <f t="shared" si="2"/>
        <v>_7_</v>
      </c>
    </row>
    <row r="378" hidden="1">
      <c r="A378" s="5">
        <v>45841.0</v>
      </c>
      <c r="B378" s="6" t="s">
        <v>20</v>
      </c>
      <c r="C378" s="6" t="s">
        <v>25</v>
      </c>
      <c r="D378" s="7">
        <v>172.0</v>
      </c>
      <c r="E378" s="6" t="s">
        <v>55</v>
      </c>
      <c r="F378" s="6" t="s">
        <v>18</v>
      </c>
      <c r="G378" s="6" t="s">
        <v>82</v>
      </c>
      <c r="H378" s="6" t="s">
        <v>359</v>
      </c>
      <c r="I378" s="10" t="str">
        <f t="shared" si="1"/>
        <v>_2025_</v>
      </c>
      <c r="J378" s="10" t="str">
        <f t="shared" si="2"/>
        <v>_7_</v>
      </c>
    </row>
    <row r="379" hidden="1">
      <c r="A379" s="5">
        <v>45842.0</v>
      </c>
      <c r="B379" s="6" t="s">
        <v>20</v>
      </c>
      <c r="C379" s="6" t="s">
        <v>305</v>
      </c>
      <c r="D379" s="7">
        <f>507-253</f>
        <v>254</v>
      </c>
      <c r="E379" s="6" t="s">
        <v>17</v>
      </c>
      <c r="F379" s="6" t="s">
        <v>334</v>
      </c>
      <c r="G379" s="6" t="s">
        <v>360</v>
      </c>
      <c r="H379" s="6" t="s">
        <v>361</v>
      </c>
      <c r="I379" s="10" t="str">
        <f t="shared" si="1"/>
        <v>_2025_</v>
      </c>
      <c r="J379" s="10" t="str">
        <f t="shared" si="2"/>
        <v>_7_</v>
      </c>
    </row>
    <row r="380" hidden="1">
      <c r="A380" s="5">
        <v>45843.0</v>
      </c>
      <c r="B380" s="6" t="s">
        <v>39</v>
      </c>
      <c r="C380" s="6" t="s">
        <v>114</v>
      </c>
      <c r="D380" s="7">
        <v>128.0</v>
      </c>
      <c r="E380" s="6" t="s">
        <v>17</v>
      </c>
      <c r="F380" s="6" t="s">
        <v>334</v>
      </c>
      <c r="G380" s="11"/>
      <c r="H380" s="6" t="s">
        <v>362</v>
      </c>
      <c r="I380" s="10" t="str">
        <f t="shared" si="1"/>
        <v>_2025_</v>
      </c>
      <c r="J380" s="10" t="str">
        <f t="shared" si="2"/>
        <v>_7_</v>
      </c>
    </row>
    <row r="381" hidden="1">
      <c r="A381" s="5">
        <v>45843.0</v>
      </c>
      <c r="B381" s="6" t="s">
        <v>20</v>
      </c>
      <c r="C381" s="6" t="s">
        <v>25</v>
      </c>
      <c r="D381" s="7">
        <v>144.0</v>
      </c>
      <c r="E381" s="6" t="s">
        <v>12</v>
      </c>
      <c r="F381" s="11"/>
      <c r="G381" s="6" t="s">
        <v>30</v>
      </c>
      <c r="H381" s="6" t="s">
        <v>363</v>
      </c>
      <c r="I381" s="10" t="str">
        <f t="shared" si="1"/>
        <v>_2025_</v>
      </c>
      <c r="J381" s="10" t="str">
        <f t="shared" si="2"/>
        <v>_7_</v>
      </c>
    </row>
    <row r="382" hidden="1">
      <c r="A382" s="5">
        <v>45843.0</v>
      </c>
      <c r="B382" s="6" t="s">
        <v>20</v>
      </c>
      <c r="C382" s="6" t="s">
        <v>25</v>
      </c>
      <c r="D382" s="7">
        <v>60.0</v>
      </c>
      <c r="E382" s="6" t="s">
        <v>12</v>
      </c>
      <c r="F382" s="11"/>
      <c r="G382" s="6" t="s">
        <v>177</v>
      </c>
      <c r="H382" s="6" t="s">
        <v>364</v>
      </c>
      <c r="I382" s="10" t="str">
        <f t="shared" si="1"/>
        <v>_2025_</v>
      </c>
      <c r="J382" s="10" t="str">
        <f t="shared" si="2"/>
        <v>_7_</v>
      </c>
    </row>
    <row r="383" hidden="1">
      <c r="A383" s="5">
        <v>45843.0</v>
      </c>
      <c r="B383" s="6" t="s">
        <v>20</v>
      </c>
      <c r="C383" s="6" t="s">
        <v>31</v>
      </c>
      <c r="D383" s="7">
        <v>57.0</v>
      </c>
      <c r="E383" s="6" t="s">
        <v>12</v>
      </c>
      <c r="F383" s="11"/>
      <c r="G383" s="6" t="s">
        <v>327</v>
      </c>
      <c r="H383" s="11"/>
      <c r="I383" s="10" t="str">
        <f t="shared" si="1"/>
        <v>_2025_</v>
      </c>
      <c r="J383" s="10" t="str">
        <f t="shared" si="2"/>
        <v>_7_</v>
      </c>
    </row>
    <row r="384" hidden="1">
      <c r="A384" s="5">
        <v>45844.0</v>
      </c>
      <c r="B384" s="6" t="s">
        <v>20</v>
      </c>
      <c r="C384" s="6" t="s">
        <v>25</v>
      </c>
      <c r="D384" s="7">
        <v>98.0</v>
      </c>
      <c r="E384" s="6" t="s">
        <v>12</v>
      </c>
      <c r="F384" s="11"/>
      <c r="G384" s="6"/>
      <c r="H384" s="6" t="s">
        <v>365</v>
      </c>
      <c r="I384" s="10" t="str">
        <f t="shared" si="1"/>
        <v>_2025_</v>
      </c>
      <c r="J384" s="10" t="str">
        <f t="shared" si="2"/>
        <v>_7_</v>
      </c>
    </row>
    <row r="385" hidden="1">
      <c r="A385" s="5">
        <v>45842.0</v>
      </c>
      <c r="B385" s="6" t="s">
        <v>58</v>
      </c>
      <c r="C385" s="6" t="s">
        <v>58</v>
      </c>
      <c r="D385" s="7">
        <v>253.0</v>
      </c>
      <c r="E385" s="6" t="s">
        <v>55</v>
      </c>
      <c r="F385" s="6" t="s">
        <v>334</v>
      </c>
      <c r="G385" s="11"/>
      <c r="H385" s="6" t="s">
        <v>366</v>
      </c>
      <c r="I385" s="10" t="str">
        <f t="shared" si="1"/>
        <v>_2025_</v>
      </c>
      <c r="J385" s="10" t="str">
        <f t="shared" si="2"/>
        <v>_7_</v>
      </c>
    </row>
    <row r="386" hidden="1">
      <c r="A386" s="5">
        <v>45844.0</v>
      </c>
      <c r="B386" s="6" t="s">
        <v>39</v>
      </c>
      <c r="C386" s="6" t="s">
        <v>114</v>
      </c>
      <c r="D386" s="7">
        <v>649.0</v>
      </c>
      <c r="E386" s="6" t="s">
        <v>17</v>
      </c>
      <c r="F386" s="6" t="s">
        <v>334</v>
      </c>
      <c r="G386" s="6" t="s">
        <v>344</v>
      </c>
      <c r="H386" s="6" t="s">
        <v>128</v>
      </c>
      <c r="I386" s="10" t="str">
        <f t="shared" si="1"/>
        <v>_2025_</v>
      </c>
      <c r="J386" s="10" t="str">
        <f t="shared" si="2"/>
        <v>_7_</v>
      </c>
    </row>
    <row r="387" hidden="1">
      <c r="A387" s="5">
        <v>45844.0</v>
      </c>
      <c r="B387" s="6" t="s">
        <v>42</v>
      </c>
      <c r="C387" s="6" t="s">
        <v>43</v>
      </c>
      <c r="D387" s="7">
        <v>19.0</v>
      </c>
      <c r="E387" s="6" t="s">
        <v>55</v>
      </c>
      <c r="F387" s="6" t="s">
        <v>334</v>
      </c>
      <c r="G387" s="11"/>
      <c r="H387" s="6" t="s">
        <v>44</v>
      </c>
      <c r="I387" s="10" t="str">
        <f t="shared" si="1"/>
        <v>_2025_</v>
      </c>
      <c r="J387" s="10" t="str">
        <f t="shared" si="2"/>
        <v>_7_</v>
      </c>
    </row>
    <row r="388" hidden="1">
      <c r="A388" s="5">
        <v>45844.0</v>
      </c>
      <c r="B388" s="6" t="s">
        <v>20</v>
      </c>
      <c r="C388" s="6" t="s">
        <v>35</v>
      </c>
      <c r="D388" s="7">
        <v>45.0</v>
      </c>
      <c r="E388" s="6" t="s">
        <v>12</v>
      </c>
      <c r="F388" s="11"/>
      <c r="G388" s="11"/>
      <c r="H388" s="6" t="s">
        <v>278</v>
      </c>
      <c r="I388" s="10" t="str">
        <f t="shared" si="1"/>
        <v>_2025_</v>
      </c>
      <c r="J388" s="10" t="str">
        <f t="shared" si="2"/>
        <v>_7_</v>
      </c>
    </row>
    <row r="389" hidden="1">
      <c r="A389" s="5">
        <v>45844.0</v>
      </c>
      <c r="B389" s="6" t="s">
        <v>20</v>
      </c>
      <c r="C389" s="6" t="s">
        <v>31</v>
      </c>
      <c r="D389" s="17">
        <f>25+40</f>
        <v>65</v>
      </c>
      <c r="E389" s="6" t="s">
        <v>12</v>
      </c>
      <c r="F389" s="11"/>
      <c r="G389" s="11"/>
      <c r="H389" s="6" t="s">
        <v>367</v>
      </c>
      <c r="I389" s="10" t="str">
        <f t="shared" si="1"/>
        <v>_2025_</v>
      </c>
      <c r="J389" s="10" t="str">
        <f t="shared" si="2"/>
        <v>_7_</v>
      </c>
    </row>
    <row r="390" hidden="1">
      <c r="A390" s="5">
        <v>45844.0</v>
      </c>
      <c r="B390" s="6" t="s">
        <v>20</v>
      </c>
      <c r="C390" s="6" t="s">
        <v>32</v>
      </c>
      <c r="D390" s="17">
        <f>65+7</f>
        <v>72</v>
      </c>
      <c r="E390" s="6" t="s">
        <v>12</v>
      </c>
      <c r="F390" s="11"/>
      <c r="G390" s="6" t="s">
        <v>47</v>
      </c>
      <c r="H390" s="6" t="s">
        <v>368</v>
      </c>
      <c r="I390" s="10" t="str">
        <f t="shared" si="1"/>
        <v>_2025_</v>
      </c>
      <c r="J390" s="10" t="str">
        <f t="shared" si="2"/>
        <v>_7_</v>
      </c>
    </row>
    <row r="391" hidden="1">
      <c r="A391" s="5">
        <v>45845.0</v>
      </c>
      <c r="B391" s="6" t="s">
        <v>27</v>
      </c>
      <c r="C391" s="6" t="s">
        <v>28</v>
      </c>
      <c r="D391" s="7">
        <v>63.0</v>
      </c>
      <c r="E391" s="6" t="s">
        <v>17</v>
      </c>
      <c r="F391" s="6" t="s">
        <v>334</v>
      </c>
      <c r="G391" s="11"/>
      <c r="H391" s="6" t="s">
        <v>369</v>
      </c>
      <c r="I391" s="10" t="str">
        <f t="shared" si="1"/>
        <v>_2025_</v>
      </c>
      <c r="J391" s="10" t="str">
        <f t="shared" si="2"/>
        <v>_7_</v>
      </c>
    </row>
    <row r="392" hidden="1">
      <c r="A392" s="5">
        <v>45845.0</v>
      </c>
      <c r="B392" s="6" t="s">
        <v>20</v>
      </c>
      <c r="C392" s="6" t="s">
        <v>25</v>
      </c>
      <c r="D392" s="7">
        <v>95.0</v>
      </c>
      <c r="E392" s="6" t="s">
        <v>12</v>
      </c>
      <c r="F392" s="11"/>
      <c r="G392" s="11"/>
      <c r="H392" s="6" t="s">
        <v>208</v>
      </c>
      <c r="I392" s="10" t="str">
        <f t="shared" si="1"/>
        <v>_2025_</v>
      </c>
      <c r="J392" s="10" t="str">
        <f t="shared" si="2"/>
        <v>_7_</v>
      </c>
    </row>
    <row r="393" hidden="1">
      <c r="A393" s="5">
        <v>45845.0</v>
      </c>
      <c r="B393" s="6" t="s">
        <v>20</v>
      </c>
      <c r="C393" s="6" t="s">
        <v>25</v>
      </c>
      <c r="D393" s="7">
        <v>50.0</v>
      </c>
      <c r="E393" s="6" t="s">
        <v>12</v>
      </c>
      <c r="F393" s="11"/>
      <c r="G393" s="6" t="s">
        <v>177</v>
      </c>
      <c r="H393" s="11"/>
      <c r="I393" s="10" t="str">
        <f t="shared" si="1"/>
        <v>_2025_</v>
      </c>
      <c r="J393" s="10" t="str">
        <f t="shared" si="2"/>
        <v>_7_</v>
      </c>
    </row>
    <row r="394" hidden="1">
      <c r="A394" s="5">
        <v>45845.0</v>
      </c>
      <c r="B394" s="6" t="s">
        <v>42</v>
      </c>
      <c r="C394" s="6" t="s">
        <v>46</v>
      </c>
      <c r="D394" s="7">
        <v>200.0</v>
      </c>
      <c r="E394" s="6" t="s">
        <v>12</v>
      </c>
      <c r="F394" s="11"/>
      <c r="G394" s="11"/>
      <c r="H394" s="6" t="s">
        <v>207</v>
      </c>
      <c r="I394" s="10" t="str">
        <f t="shared" si="1"/>
        <v>_2025_</v>
      </c>
      <c r="J394" s="10" t="str">
        <f t="shared" si="2"/>
        <v>_7_</v>
      </c>
    </row>
    <row r="395" hidden="1">
      <c r="A395" s="5">
        <v>45832.0</v>
      </c>
      <c r="B395" s="6" t="s">
        <v>23</v>
      </c>
      <c r="C395" s="6" t="s">
        <v>91</v>
      </c>
      <c r="D395" s="7">
        <v>950.0</v>
      </c>
      <c r="E395" s="6" t="s">
        <v>12</v>
      </c>
      <c r="F395" s="11"/>
      <c r="G395" s="11"/>
      <c r="H395" s="6" t="s">
        <v>370</v>
      </c>
      <c r="I395" s="10" t="str">
        <f t="shared" si="1"/>
        <v>_2025_</v>
      </c>
      <c r="J395" s="10" t="str">
        <f t="shared" si="2"/>
        <v>_6_</v>
      </c>
    </row>
    <row r="396" hidden="1">
      <c r="A396" s="5">
        <v>45841.0</v>
      </c>
      <c r="B396" s="6" t="s">
        <v>15</v>
      </c>
      <c r="C396" s="6" t="s">
        <v>144</v>
      </c>
      <c r="D396" s="7">
        <v>1465.0</v>
      </c>
      <c r="E396" s="6" t="s">
        <v>51</v>
      </c>
      <c r="F396" s="6" t="s">
        <v>18</v>
      </c>
      <c r="G396" s="6" t="s">
        <v>281</v>
      </c>
      <c r="H396" s="6" t="s">
        <v>371</v>
      </c>
      <c r="I396" s="10" t="str">
        <f t="shared" si="1"/>
        <v>_2025_</v>
      </c>
      <c r="J396" s="10" t="str">
        <f t="shared" si="2"/>
        <v>_7_</v>
      </c>
    </row>
    <row r="397" hidden="1">
      <c r="A397" s="5">
        <v>45846.0</v>
      </c>
      <c r="B397" s="6" t="s">
        <v>20</v>
      </c>
      <c r="C397" s="6" t="s">
        <v>25</v>
      </c>
      <c r="D397" s="7">
        <v>231.0</v>
      </c>
      <c r="E397" s="6" t="s">
        <v>17</v>
      </c>
      <c r="F397" s="6" t="s">
        <v>334</v>
      </c>
      <c r="G397" s="6" t="s">
        <v>259</v>
      </c>
      <c r="H397" s="11"/>
      <c r="I397" s="10" t="str">
        <f t="shared" si="1"/>
        <v>_2025_</v>
      </c>
      <c r="J397" s="10" t="str">
        <f t="shared" si="2"/>
        <v>_7_</v>
      </c>
    </row>
    <row r="398" hidden="1">
      <c r="A398" s="5">
        <v>45847.0</v>
      </c>
      <c r="B398" s="6" t="s">
        <v>20</v>
      </c>
      <c r="C398" s="6" t="s">
        <v>31</v>
      </c>
      <c r="D398" s="7">
        <v>98.0</v>
      </c>
      <c r="E398" s="6" t="s">
        <v>12</v>
      </c>
      <c r="F398" s="11"/>
      <c r="G398" s="6" t="s">
        <v>47</v>
      </c>
      <c r="H398" s="6" t="s">
        <v>48</v>
      </c>
      <c r="I398" s="10" t="str">
        <f t="shared" si="1"/>
        <v>_2025_</v>
      </c>
      <c r="J398" s="10" t="str">
        <f t="shared" si="2"/>
        <v>_7_</v>
      </c>
    </row>
    <row r="399" hidden="1">
      <c r="A399" s="5">
        <v>45847.0</v>
      </c>
      <c r="B399" s="6" t="s">
        <v>15</v>
      </c>
      <c r="C399" s="6" t="s">
        <v>16</v>
      </c>
      <c r="D399" s="7">
        <v>750.0</v>
      </c>
      <c r="E399" s="6" t="s">
        <v>17</v>
      </c>
      <c r="F399" s="6" t="s">
        <v>334</v>
      </c>
      <c r="G399" s="6" t="s">
        <v>77</v>
      </c>
      <c r="H399" s="6" t="s">
        <v>280</v>
      </c>
      <c r="I399" s="10" t="str">
        <f t="shared" si="1"/>
        <v>_2025_</v>
      </c>
      <c r="J399" s="10" t="str">
        <f t="shared" si="2"/>
        <v>_7_</v>
      </c>
    </row>
    <row r="400" hidden="1">
      <c r="A400" s="5">
        <v>45847.0</v>
      </c>
      <c r="B400" s="6" t="s">
        <v>20</v>
      </c>
      <c r="C400" s="6" t="s">
        <v>25</v>
      </c>
      <c r="D400" s="7">
        <v>238.0</v>
      </c>
      <c r="E400" s="6" t="s">
        <v>17</v>
      </c>
      <c r="F400" s="6" t="s">
        <v>334</v>
      </c>
      <c r="G400" s="6" t="s">
        <v>30</v>
      </c>
      <c r="H400" s="11"/>
      <c r="I400" s="10" t="str">
        <f t="shared" si="1"/>
        <v>_2025_</v>
      </c>
      <c r="J400" s="10" t="str">
        <f t="shared" si="2"/>
        <v>_7_</v>
      </c>
    </row>
    <row r="401" hidden="1">
      <c r="A401" s="5">
        <v>45847.0</v>
      </c>
      <c r="B401" s="6" t="s">
        <v>159</v>
      </c>
      <c r="C401" s="6" t="s">
        <v>20</v>
      </c>
      <c r="D401" s="7">
        <v>46.0</v>
      </c>
      <c r="E401" s="6" t="s">
        <v>12</v>
      </c>
      <c r="F401" s="11"/>
      <c r="G401" s="6" t="s">
        <v>327</v>
      </c>
      <c r="H401" s="6" t="s">
        <v>372</v>
      </c>
      <c r="I401" s="10" t="str">
        <f t="shared" si="1"/>
        <v>_2025_</v>
      </c>
      <c r="J401" s="10" t="str">
        <f t="shared" si="2"/>
        <v>_7_</v>
      </c>
    </row>
    <row r="402" hidden="1">
      <c r="A402" s="5">
        <v>45847.0</v>
      </c>
      <c r="B402" s="6" t="s">
        <v>159</v>
      </c>
      <c r="C402" s="6" t="s">
        <v>20</v>
      </c>
      <c r="D402" s="7">
        <v>100.0</v>
      </c>
      <c r="E402" s="6" t="s">
        <v>12</v>
      </c>
      <c r="F402" s="11"/>
      <c r="G402" s="11"/>
      <c r="H402" s="6" t="s">
        <v>373</v>
      </c>
      <c r="I402" s="10" t="str">
        <f t="shared" si="1"/>
        <v>_2025_</v>
      </c>
      <c r="J402" s="10" t="str">
        <f t="shared" si="2"/>
        <v>_7_</v>
      </c>
    </row>
    <row r="403" hidden="1">
      <c r="A403" s="5">
        <v>45847.0</v>
      </c>
      <c r="B403" s="6" t="s">
        <v>159</v>
      </c>
      <c r="C403" s="6" t="s">
        <v>20</v>
      </c>
      <c r="D403" s="7">
        <v>50.0</v>
      </c>
      <c r="E403" s="6" t="s">
        <v>12</v>
      </c>
      <c r="F403" s="11"/>
      <c r="G403" s="11"/>
      <c r="H403" s="6" t="s">
        <v>374</v>
      </c>
      <c r="I403" s="10" t="str">
        <f t="shared" si="1"/>
        <v>_2025_</v>
      </c>
      <c r="J403" s="10" t="str">
        <f t="shared" si="2"/>
        <v>_7_</v>
      </c>
    </row>
    <row r="404" hidden="1">
      <c r="A404" s="5">
        <v>45848.0</v>
      </c>
      <c r="B404" s="6" t="s">
        <v>159</v>
      </c>
      <c r="C404" s="6" t="s">
        <v>16</v>
      </c>
      <c r="D404" s="7">
        <v>750.0</v>
      </c>
      <c r="E404" s="6" t="s">
        <v>17</v>
      </c>
      <c r="F404" s="6" t="s">
        <v>334</v>
      </c>
      <c r="G404" s="6" t="s">
        <v>77</v>
      </c>
      <c r="H404" s="6" t="s">
        <v>375</v>
      </c>
      <c r="I404" s="10" t="str">
        <f t="shared" si="1"/>
        <v>_2025_</v>
      </c>
      <c r="J404" s="10" t="str">
        <f t="shared" si="2"/>
        <v>_7_</v>
      </c>
    </row>
    <row r="405" hidden="1">
      <c r="A405" s="5">
        <v>45848.0</v>
      </c>
      <c r="B405" s="6" t="s">
        <v>159</v>
      </c>
      <c r="C405" s="6" t="s">
        <v>20</v>
      </c>
      <c r="D405" s="7">
        <v>60.0</v>
      </c>
      <c r="E405" s="6" t="s">
        <v>12</v>
      </c>
      <c r="F405" s="11"/>
      <c r="G405" s="6" t="s">
        <v>82</v>
      </c>
      <c r="H405" s="19" t="s">
        <v>376</v>
      </c>
      <c r="I405" s="10" t="str">
        <f t="shared" si="1"/>
        <v>_2025_</v>
      </c>
      <c r="J405" s="10" t="str">
        <f t="shared" si="2"/>
        <v>_7_</v>
      </c>
    </row>
    <row r="406" hidden="1">
      <c r="A406" s="5">
        <v>45848.0</v>
      </c>
      <c r="B406" s="6" t="s">
        <v>159</v>
      </c>
      <c r="C406" s="6" t="s">
        <v>20</v>
      </c>
      <c r="D406" s="7">
        <v>60.0</v>
      </c>
      <c r="E406" s="6" t="s">
        <v>12</v>
      </c>
      <c r="F406" s="11"/>
      <c r="G406" s="11"/>
      <c r="H406" s="6" t="s">
        <v>34</v>
      </c>
      <c r="I406" s="10" t="str">
        <f t="shared" si="1"/>
        <v>_2025_</v>
      </c>
      <c r="J406" s="10" t="str">
        <f t="shared" si="2"/>
        <v>_7_</v>
      </c>
    </row>
    <row r="407" hidden="1">
      <c r="A407" s="5">
        <v>45848.0</v>
      </c>
      <c r="B407" s="6" t="s">
        <v>159</v>
      </c>
      <c r="C407" s="6" t="s">
        <v>161</v>
      </c>
      <c r="D407" s="7">
        <f>816.51-(2*273)</f>
        <v>270.51</v>
      </c>
      <c r="E407" s="6" t="s">
        <v>55</v>
      </c>
      <c r="F407" s="6" t="s">
        <v>334</v>
      </c>
      <c r="G407" s="11"/>
      <c r="H407" s="6" t="s">
        <v>377</v>
      </c>
      <c r="I407" s="10" t="str">
        <f t="shared" si="1"/>
        <v>_2025_</v>
      </c>
      <c r="J407" s="10" t="str">
        <f t="shared" si="2"/>
        <v>_7_</v>
      </c>
    </row>
    <row r="408" hidden="1">
      <c r="A408" s="5">
        <v>45848.0</v>
      </c>
      <c r="B408" s="6" t="s">
        <v>58</v>
      </c>
      <c r="C408" s="6" t="s">
        <v>58</v>
      </c>
      <c r="D408" s="17">
        <f>2*273</f>
        <v>546</v>
      </c>
      <c r="E408" s="6" t="s">
        <v>55</v>
      </c>
      <c r="F408" s="6" t="s">
        <v>334</v>
      </c>
      <c r="G408" s="11"/>
      <c r="H408" s="6" t="s">
        <v>378</v>
      </c>
      <c r="I408" s="10" t="str">
        <f t="shared" si="1"/>
        <v>_2025_</v>
      </c>
      <c r="J408" s="10" t="str">
        <f t="shared" si="2"/>
        <v>_7_</v>
      </c>
    </row>
    <row r="409" hidden="1">
      <c r="A409" s="5">
        <v>45848.0</v>
      </c>
      <c r="B409" s="6" t="s">
        <v>159</v>
      </c>
      <c r="C409" s="6" t="s">
        <v>20</v>
      </c>
      <c r="D409" s="7">
        <f>25+30</f>
        <v>55</v>
      </c>
      <c r="E409" s="6" t="s">
        <v>150</v>
      </c>
      <c r="F409" s="11"/>
      <c r="G409" s="11"/>
      <c r="H409" s="6" t="s">
        <v>379</v>
      </c>
      <c r="I409" s="10" t="str">
        <f t="shared" si="1"/>
        <v>_2025_</v>
      </c>
      <c r="J409" s="10" t="str">
        <f t="shared" si="2"/>
        <v>_7_</v>
      </c>
    </row>
    <row r="410" hidden="1">
      <c r="A410" s="5">
        <v>45848.0</v>
      </c>
      <c r="B410" s="6" t="s">
        <v>159</v>
      </c>
      <c r="C410" s="6" t="s">
        <v>20</v>
      </c>
      <c r="D410" s="7">
        <f>10+278</f>
        <v>288</v>
      </c>
      <c r="E410" s="6" t="s">
        <v>12</v>
      </c>
      <c r="F410" s="11"/>
      <c r="G410" s="6" t="s">
        <v>47</v>
      </c>
      <c r="H410" s="6" t="s">
        <v>380</v>
      </c>
      <c r="I410" s="10" t="str">
        <f t="shared" si="1"/>
        <v>_2025_</v>
      </c>
      <c r="J410" s="10" t="str">
        <f t="shared" si="2"/>
        <v>_7_</v>
      </c>
    </row>
    <row r="411" hidden="1">
      <c r="A411" s="5">
        <v>45849.0</v>
      </c>
      <c r="B411" s="6" t="s">
        <v>159</v>
      </c>
      <c r="C411" s="6" t="s">
        <v>20</v>
      </c>
      <c r="D411" s="7">
        <v>24.0</v>
      </c>
      <c r="E411" s="6" t="s">
        <v>12</v>
      </c>
      <c r="F411" s="11"/>
      <c r="G411" s="11"/>
      <c r="H411" s="6" t="s">
        <v>381</v>
      </c>
      <c r="I411" s="10" t="str">
        <f t="shared" si="1"/>
        <v>_2025_</v>
      </c>
      <c r="J411" s="10" t="str">
        <f t="shared" si="2"/>
        <v>_7_</v>
      </c>
    </row>
    <row r="412" hidden="1">
      <c r="A412" s="5">
        <v>45849.0</v>
      </c>
      <c r="B412" s="6" t="s">
        <v>159</v>
      </c>
      <c r="C412" s="6" t="s">
        <v>75</v>
      </c>
      <c r="D412" s="7">
        <v>60.0</v>
      </c>
      <c r="E412" s="6" t="s">
        <v>12</v>
      </c>
      <c r="F412" s="11"/>
      <c r="G412" s="6"/>
      <c r="H412" s="6" t="s">
        <v>382</v>
      </c>
      <c r="I412" s="10" t="str">
        <f t="shared" si="1"/>
        <v>_2025_</v>
      </c>
      <c r="J412" s="10" t="str">
        <f t="shared" si="2"/>
        <v>_7_</v>
      </c>
    </row>
    <row r="413" hidden="1">
      <c r="A413" s="5">
        <v>45849.0</v>
      </c>
      <c r="B413" s="6" t="s">
        <v>159</v>
      </c>
      <c r="C413" s="6" t="s">
        <v>20</v>
      </c>
      <c r="D413" s="7">
        <f>147-67</f>
        <v>80</v>
      </c>
      <c r="E413" s="6" t="s">
        <v>12</v>
      </c>
      <c r="F413" s="11"/>
      <c r="G413" s="11"/>
      <c r="H413" s="6" t="s">
        <v>383</v>
      </c>
      <c r="I413" s="10" t="str">
        <f t="shared" si="1"/>
        <v>_2025_</v>
      </c>
      <c r="J413" s="10" t="str">
        <f t="shared" si="2"/>
        <v>_7_</v>
      </c>
    </row>
    <row r="414" hidden="1">
      <c r="A414" s="5">
        <v>45849.0</v>
      </c>
      <c r="B414" s="6" t="s">
        <v>159</v>
      </c>
      <c r="C414" s="6" t="s">
        <v>20</v>
      </c>
      <c r="D414" s="17">
        <f>165-55-55</f>
        <v>55</v>
      </c>
      <c r="E414" s="6" t="s">
        <v>12</v>
      </c>
      <c r="F414" s="11"/>
      <c r="G414" s="11"/>
      <c r="H414" s="6" t="s">
        <v>384</v>
      </c>
      <c r="I414" s="10" t="str">
        <f t="shared" si="1"/>
        <v>_2025_</v>
      </c>
      <c r="J414" s="10" t="str">
        <f t="shared" si="2"/>
        <v>_7_</v>
      </c>
    </row>
    <row r="415" hidden="1">
      <c r="A415" s="5">
        <v>45848.0</v>
      </c>
      <c r="B415" s="6" t="s">
        <v>159</v>
      </c>
      <c r="C415" s="6" t="s">
        <v>20</v>
      </c>
      <c r="D415" s="17">
        <f>33+14+21+34+125+69+20+55</f>
        <v>371</v>
      </c>
      <c r="E415" s="6" t="s">
        <v>17</v>
      </c>
      <c r="F415" s="6" t="s">
        <v>334</v>
      </c>
      <c r="G415" s="6" t="s">
        <v>36</v>
      </c>
      <c r="H415" s="6" t="s">
        <v>385</v>
      </c>
      <c r="I415" s="10" t="str">
        <f t="shared" si="1"/>
        <v>_2025_</v>
      </c>
      <c r="J415" s="10" t="str">
        <f t="shared" si="2"/>
        <v>_7_</v>
      </c>
    </row>
    <row r="416" hidden="1">
      <c r="A416" s="5">
        <v>45848.0</v>
      </c>
      <c r="B416" s="6" t="s">
        <v>27</v>
      </c>
      <c r="C416" s="6" t="s">
        <v>116</v>
      </c>
      <c r="D416" s="7">
        <v>159.0</v>
      </c>
      <c r="E416" s="6" t="s">
        <v>17</v>
      </c>
      <c r="F416" s="6" t="s">
        <v>334</v>
      </c>
      <c r="G416" s="6" t="s">
        <v>36</v>
      </c>
      <c r="H416" s="6" t="s">
        <v>386</v>
      </c>
      <c r="I416" s="10" t="str">
        <f t="shared" si="1"/>
        <v>_2025_</v>
      </c>
      <c r="J416" s="10" t="str">
        <f t="shared" si="2"/>
        <v>_7_</v>
      </c>
    </row>
    <row r="417" hidden="1">
      <c r="A417" s="5">
        <v>45848.0</v>
      </c>
      <c r="B417" s="6" t="s">
        <v>58</v>
      </c>
      <c r="C417" s="6" t="s">
        <v>58</v>
      </c>
      <c r="D417" s="17">
        <f>83</f>
        <v>83</v>
      </c>
      <c r="E417" s="6" t="s">
        <v>17</v>
      </c>
      <c r="F417" s="6" t="s">
        <v>334</v>
      </c>
      <c r="G417" s="6" t="s">
        <v>36</v>
      </c>
      <c r="H417" s="6" t="s">
        <v>387</v>
      </c>
      <c r="I417" s="10" t="str">
        <f t="shared" si="1"/>
        <v>_2025_</v>
      </c>
      <c r="J417" s="10" t="str">
        <f t="shared" si="2"/>
        <v>_7_</v>
      </c>
    </row>
    <row r="418" hidden="1">
      <c r="A418" s="5">
        <v>45849.0</v>
      </c>
      <c r="B418" s="6" t="s">
        <v>159</v>
      </c>
      <c r="C418" s="6" t="s">
        <v>20</v>
      </c>
      <c r="D418" s="17">
        <f>305-(102*2)</f>
        <v>101</v>
      </c>
      <c r="E418" s="6" t="s">
        <v>12</v>
      </c>
      <c r="F418" s="11"/>
      <c r="G418" s="11"/>
      <c r="H418" s="6" t="s">
        <v>388</v>
      </c>
      <c r="I418" s="10" t="str">
        <f t="shared" si="1"/>
        <v>_2025_</v>
      </c>
      <c r="J418" s="10" t="str">
        <f t="shared" si="2"/>
        <v>_7_</v>
      </c>
    </row>
    <row r="419" hidden="1">
      <c r="A419" s="5">
        <v>45849.0</v>
      </c>
      <c r="B419" s="6" t="s">
        <v>159</v>
      </c>
      <c r="C419" s="6" t="s">
        <v>249</v>
      </c>
      <c r="D419" s="17">
        <f>180/3</f>
        <v>60</v>
      </c>
      <c r="E419" s="6" t="s">
        <v>150</v>
      </c>
      <c r="F419" s="11"/>
      <c r="G419" s="11"/>
      <c r="H419" s="6" t="s">
        <v>389</v>
      </c>
      <c r="I419" s="10" t="str">
        <f t="shared" si="1"/>
        <v>_2025_</v>
      </c>
      <c r="J419" s="10" t="str">
        <f t="shared" si="2"/>
        <v>_7_</v>
      </c>
    </row>
    <row r="420" hidden="1">
      <c r="A420" s="5">
        <v>45849.0</v>
      </c>
      <c r="B420" s="6" t="s">
        <v>159</v>
      </c>
      <c r="C420" s="6" t="s">
        <v>161</v>
      </c>
      <c r="D420" s="17">
        <f>860.49-(2*286.5)</f>
        <v>287.49</v>
      </c>
      <c r="E420" s="6" t="s">
        <v>55</v>
      </c>
      <c r="F420" s="6" t="s">
        <v>334</v>
      </c>
      <c r="G420" s="11"/>
      <c r="H420" s="6" t="s">
        <v>390</v>
      </c>
      <c r="I420" s="10" t="str">
        <f t="shared" si="1"/>
        <v>_2025_</v>
      </c>
      <c r="J420" s="10" t="str">
        <f t="shared" si="2"/>
        <v>_7_</v>
      </c>
    </row>
    <row r="421" hidden="1">
      <c r="A421" s="5">
        <v>45849.0</v>
      </c>
      <c r="B421" s="6" t="s">
        <v>58</v>
      </c>
      <c r="C421" s="6" t="s">
        <v>58</v>
      </c>
      <c r="D421" s="17">
        <f>860.49-287.49</f>
        <v>573</v>
      </c>
      <c r="E421" s="6" t="s">
        <v>55</v>
      </c>
      <c r="F421" s="6" t="s">
        <v>334</v>
      </c>
      <c r="G421" s="11"/>
      <c r="H421" s="6" t="s">
        <v>391</v>
      </c>
      <c r="I421" s="10" t="str">
        <f t="shared" si="1"/>
        <v>_2025_</v>
      </c>
      <c r="J421" s="10" t="str">
        <f t="shared" si="2"/>
        <v>_7_</v>
      </c>
    </row>
    <row r="422" hidden="1">
      <c r="A422" s="5">
        <v>45850.0</v>
      </c>
      <c r="B422" s="6" t="s">
        <v>159</v>
      </c>
      <c r="C422" s="6" t="s">
        <v>20</v>
      </c>
      <c r="D422" s="7">
        <v>50.0</v>
      </c>
      <c r="E422" s="6" t="s">
        <v>12</v>
      </c>
      <c r="F422" s="11"/>
      <c r="G422" s="11"/>
      <c r="H422" s="6" t="s">
        <v>392</v>
      </c>
      <c r="I422" s="10" t="str">
        <f t="shared" si="1"/>
        <v>_2025_</v>
      </c>
      <c r="J422" s="10" t="str">
        <f t="shared" si="2"/>
        <v>_7_</v>
      </c>
    </row>
    <row r="423" hidden="1">
      <c r="A423" s="5">
        <v>45850.0</v>
      </c>
      <c r="B423" s="6" t="s">
        <v>159</v>
      </c>
      <c r="C423" s="6" t="s">
        <v>20</v>
      </c>
      <c r="D423" s="7">
        <v>25.0</v>
      </c>
      <c r="E423" s="6" t="s">
        <v>150</v>
      </c>
      <c r="F423" s="11"/>
      <c r="G423" s="11"/>
      <c r="H423" s="6" t="s">
        <v>245</v>
      </c>
      <c r="I423" s="10" t="str">
        <f t="shared" si="1"/>
        <v>_2025_</v>
      </c>
      <c r="J423" s="10" t="str">
        <f t="shared" si="2"/>
        <v>_7_</v>
      </c>
    </row>
    <row r="424" hidden="1">
      <c r="A424" s="5">
        <v>45850.0</v>
      </c>
      <c r="B424" s="6" t="s">
        <v>159</v>
      </c>
      <c r="C424" s="6" t="s">
        <v>20</v>
      </c>
      <c r="D424" s="7">
        <f>100+100+135</f>
        <v>335</v>
      </c>
      <c r="E424" s="6" t="s">
        <v>12</v>
      </c>
      <c r="F424" s="11"/>
      <c r="G424" s="11"/>
      <c r="H424" s="6" t="s">
        <v>393</v>
      </c>
      <c r="I424" s="10" t="str">
        <f t="shared" si="1"/>
        <v>_2025_</v>
      </c>
      <c r="J424" s="10" t="str">
        <f t="shared" si="2"/>
        <v>_7_</v>
      </c>
    </row>
    <row r="425" hidden="1">
      <c r="A425" s="5">
        <v>45849.0</v>
      </c>
      <c r="B425" s="6" t="s">
        <v>159</v>
      </c>
      <c r="C425" s="6" t="s">
        <v>20</v>
      </c>
      <c r="D425" s="7">
        <v>210.0</v>
      </c>
      <c r="E425" s="6" t="s">
        <v>12</v>
      </c>
      <c r="F425" s="11"/>
      <c r="G425" s="11"/>
      <c r="H425" s="6" t="s">
        <v>394</v>
      </c>
      <c r="I425" s="10" t="str">
        <f t="shared" si="1"/>
        <v>_2025_</v>
      </c>
      <c r="J425" s="10" t="str">
        <f t="shared" si="2"/>
        <v>_7_</v>
      </c>
    </row>
    <row r="426" hidden="1">
      <c r="A426" s="5">
        <v>45849.0</v>
      </c>
      <c r="B426" s="6" t="s">
        <v>159</v>
      </c>
      <c r="C426" s="6" t="s">
        <v>20</v>
      </c>
      <c r="D426" s="17">
        <f>81+74+10</f>
        <v>165</v>
      </c>
      <c r="E426" s="6" t="s">
        <v>12</v>
      </c>
      <c r="F426" s="11"/>
      <c r="G426" s="6" t="s">
        <v>47</v>
      </c>
      <c r="H426" s="6" t="s">
        <v>395</v>
      </c>
      <c r="I426" s="10" t="str">
        <f t="shared" si="1"/>
        <v>_2025_</v>
      </c>
      <c r="J426" s="10" t="str">
        <f t="shared" si="2"/>
        <v>_7_</v>
      </c>
    </row>
    <row r="427" hidden="1">
      <c r="A427" s="5">
        <v>45850.0</v>
      </c>
      <c r="B427" s="6" t="s">
        <v>159</v>
      </c>
      <c r="C427" s="6" t="s">
        <v>20</v>
      </c>
      <c r="D427" s="7">
        <v>40.0</v>
      </c>
      <c r="E427" s="6" t="s">
        <v>150</v>
      </c>
      <c r="F427" s="11"/>
      <c r="G427" s="11"/>
      <c r="H427" s="6" t="s">
        <v>45</v>
      </c>
      <c r="I427" s="10" t="str">
        <f t="shared" si="1"/>
        <v>_2025_</v>
      </c>
      <c r="J427" s="10" t="str">
        <f t="shared" si="2"/>
        <v>_7_</v>
      </c>
    </row>
    <row r="428" hidden="1">
      <c r="A428" s="5">
        <v>45850.0</v>
      </c>
      <c r="B428" s="6" t="s">
        <v>62</v>
      </c>
      <c r="C428" s="6" t="s">
        <v>63</v>
      </c>
      <c r="D428" s="7">
        <v>3026.66</v>
      </c>
      <c r="E428" s="6" t="s">
        <v>12</v>
      </c>
      <c r="F428" s="11"/>
      <c r="G428" s="11"/>
      <c r="H428" s="11"/>
      <c r="I428" s="10" t="str">
        <f t="shared" si="1"/>
        <v>_2025_</v>
      </c>
      <c r="J428" s="10" t="str">
        <f t="shared" si="2"/>
        <v>_7_</v>
      </c>
    </row>
    <row r="429" hidden="1">
      <c r="A429" s="5">
        <v>45850.0</v>
      </c>
      <c r="B429" s="6" t="s">
        <v>159</v>
      </c>
      <c r="C429" s="6" t="s">
        <v>161</v>
      </c>
      <c r="D429" s="17">
        <f>350/2</f>
        <v>175</v>
      </c>
      <c r="E429" s="6" t="s">
        <v>12</v>
      </c>
      <c r="F429" s="11"/>
      <c r="G429" s="11"/>
      <c r="H429" s="6" t="s">
        <v>396</v>
      </c>
      <c r="I429" s="10" t="str">
        <f t="shared" si="1"/>
        <v>_2025_</v>
      </c>
      <c r="J429" s="10" t="str">
        <f t="shared" si="2"/>
        <v>_7_</v>
      </c>
    </row>
    <row r="430" hidden="1">
      <c r="A430" s="5">
        <v>45850.0</v>
      </c>
      <c r="B430" s="6" t="s">
        <v>159</v>
      </c>
      <c r="C430" s="6" t="s">
        <v>65</v>
      </c>
      <c r="D430" s="17">
        <f>434+79</f>
        <v>513</v>
      </c>
      <c r="E430" s="6" t="s">
        <v>12</v>
      </c>
      <c r="F430" s="11"/>
      <c r="G430" s="11"/>
      <c r="H430" s="6" t="s">
        <v>397</v>
      </c>
      <c r="I430" s="10" t="str">
        <f t="shared" si="1"/>
        <v>_2025_</v>
      </c>
      <c r="J430" s="10" t="str">
        <f t="shared" si="2"/>
        <v>_7_</v>
      </c>
    </row>
    <row r="431" hidden="1">
      <c r="A431" s="5">
        <v>45851.0</v>
      </c>
      <c r="B431" s="6" t="s">
        <v>159</v>
      </c>
      <c r="C431" s="6" t="s">
        <v>20</v>
      </c>
      <c r="D431" s="7">
        <f>55+35</f>
        <v>90</v>
      </c>
      <c r="E431" s="6" t="s">
        <v>12</v>
      </c>
      <c r="F431" s="11"/>
      <c r="G431" s="11"/>
      <c r="H431" s="6" t="s">
        <v>398</v>
      </c>
      <c r="I431" s="10" t="str">
        <f t="shared" si="1"/>
        <v>_2025_</v>
      </c>
      <c r="J431" s="10" t="str">
        <f t="shared" si="2"/>
        <v>_7_</v>
      </c>
    </row>
    <row r="432" hidden="1">
      <c r="A432" s="5">
        <v>45851.0</v>
      </c>
      <c r="B432" s="6" t="s">
        <v>159</v>
      </c>
      <c r="C432" s="6" t="s">
        <v>20</v>
      </c>
      <c r="D432" s="7">
        <v>49.0</v>
      </c>
      <c r="E432" s="6" t="s">
        <v>12</v>
      </c>
      <c r="F432" s="11"/>
      <c r="G432" s="6" t="s">
        <v>82</v>
      </c>
      <c r="H432" s="6" t="s">
        <v>119</v>
      </c>
      <c r="I432" s="10" t="str">
        <f t="shared" si="1"/>
        <v>_2025_</v>
      </c>
      <c r="J432" s="10" t="str">
        <f t="shared" si="2"/>
        <v>_7_</v>
      </c>
    </row>
    <row r="433" hidden="1">
      <c r="A433" s="5">
        <v>45851.0</v>
      </c>
      <c r="B433" s="6" t="s">
        <v>159</v>
      </c>
      <c r="C433" s="6" t="s">
        <v>20</v>
      </c>
      <c r="D433" s="17">
        <f>80+79</f>
        <v>159</v>
      </c>
      <c r="E433" s="6" t="s">
        <v>12</v>
      </c>
      <c r="F433" s="11"/>
      <c r="G433" s="11"/>
      <c r="H433" s="6" t="s">
        <v>399</v>
      </c>
      <c r="I433" s="10" t="str">
        <f t="shared" si="1"/>
        <v>_2025_</v>
      </c>
      <c r="J433" s="10" t="str">
        <f t="shared" si="2"/>
        <v>_7_</v>
      </c>
    </row>
    <row r="434" hidden="1">
      <c r="A434" s="5">
        <v>45851.0</v>
      </c>
      <c r="B434" s="6" t="s">
        <v>159</v>
      </c>
      <c r="C434" s="6" t="s">
        <v>161</v>
      </c>
      <c r="D434" s="7">
        <v>200.0</v>
      </c>
      <c r="E434" s="6" t="s">
        <v>12</v>
      </c>
      <c r="F434" s="11"/>
      <c r="G434" s="11"/>
      <c r="H434" s="11"/>
      <c r="I434" s="10" t="str">
        <f t="shared" si="1"/>
        <v>_2025_</v>
      </c>
      <c r="J434" s="10" t="str">
        <f t="shared" si="2"/>
        <v>_7_</v>
      </c>
    </row>
    <row r="435" hidden="1">
      <c r="A435" s="5">
        <v>45850.0</v>
      </c>
      <c r="B435" s="6" t="s">
        <v>21</v>
      </c>
      <c r="C435" s="6" t="s">
        <v>21</v>
      </c>
      <c r="D435" s="7">
        <v>89.0</v>
      </c>
      <c r="E435" s="6" t="s">
        <v>55</v>
      </c>
      <c r="F435" s="6" t="s">
        <v>334</v>
      </c>
      <c r="G435" s="11"/>
      <c r="H435" s="6" t="s">
        <v>400</v>
      </c>
      <c r="I435" s="10" t="str">
        <f t="shared" si="1"/>
        <v>_2025_</v>
      </c>
      <c r="J435" s="10" t="str">
        <f t="shared" si="2"/>
        <v>_7_</v>
      </c>
    </row>
    <row r="436" hidden="1">
      <c r="A436" s="5">
        <v>45851.0</v>
      </c>
      <c r="B436" s="6" t="s">
        <v>42</v>
      </c>
      <c r="C436" s="6" t="s">
        <v>157</v>
      </c>
      <c r="D436" s="17">
        <f>25+30+30</f>
        <v>85</v>
      </c>
      <c r="E436" s="6" t="s">
        <v>150</v>
      </c>
      <c r="F436" s="11"/>
      <c r="G436" s="11"/>
      <c r="H436" s="6" t="s">
        <v>401</v>
      </c>
      <c r="I436" s="10" t="str">
        <f t="shared" si="1"/>
        <v>_2025_</v>
      </c>
      <c r="J436" s="10" t="str">
        <f t="shared" si="2"/>
        <v>_7_</v>
      </c>
    </row>
    <row r="437" hidden="1">
      <c r="A437" s="5">
        <v>45851.0</v>
      </c>
      <c r="B437" s="6" t="s">
        <v>159</v>
      </c>
      <c r="C437" s="6" t="s">
        <v>20</v>
      </c>
      <c r="D437" s="17">
        <f>130+55</f>
        <v>185</v>
      </c>
      <c r="E437" s="6" t="s">
        <v>12</v>
      </c>
      <c r="F437" s="11"/>
      <c r="G437" s="11"/>
      <c r="H437" s="6" t="s">
        <v>402</v>
      </c>
      <c r="I437" s="10" t="str">
        <f t="shared" si="1"/>
        <v>_2025_</v>
      </c>
      <c r="J437" s="10" t="str">
        <f t="shared" si="2"/>
        <v>_7_</v>
      </c>
    </row>
    <row r="438" hidden="1">
      <c r="A438" s="5">
        <v>45851.0</v>
      </c>
      <c r="B438" s="6" t="s">
        <v>42</v>
      </c>
      <c r="C438" s="6" t="s">
        <v>43</v>
      </c>
      <c r="D438" s="17">
        <f>359-(65+65+64+64)</f>
        <v>101</v>
      </c>
      <c r="E438" s="6" t="s">
        <v>55</v>
      </c>
      <c r="F438" s="6" t="s">
        <v>334</v>
      </c>
      <c r="G438" s="6" t="s">
        <v>195</v>
      </c>
      <c r="H438" s="6" t="s">
        <v>195</v>
      </c>
      <c r="I438" s="10" t="str">
        <f t="shared" si="1"/>
        <v>_2025_</v>
      </c>
      <c r="J438" s="10" t="str">
        <f t="shared" si="2"/>
        <v>_7_</v>
      </c>
    </row>
    <row r="439" hidden="1">
      <c r="A439" s="5">
        <v>45853.0</v>
      </c>
      <c r="B439" s="6" t="s">
        <v>159</v>
      </c>
      <c r="C439" s="6" t="s">
        <v>21</v>
      </c>
      <c r="D439" s="7">
        <v>200.0</v>
      </c>
      <c r="E439" s="6" t="s">
        <v>150</v>
      </c>
      <c r="F439" s="11"/>
      <c r="G439" s="11"/>
      <c r="H439" s="6" t="s">
        <v>403</v>
      </c>
      <c r="I439" s="10" t="str">
        <f t="shared" si="1"/>
        <v>_2025_</v>
      </c>
      <c r="J439" s="10" t="str">
        <f t="shared" si="2"/>
        <v>_7_</v>
      </c>
    </row>
    <row r="440" hidden="1">
      <c r="A440" s="5">
        <v>45852.0</v>
      </c>
      <c r="B440" s="6" t="s">
        <v>159</v>
      </c>
      <c r="C440" s="6" t="s">
        <v>20</v>
      </c>
      <c r="D440" s="17">
        <f>255-150</f>
        <v>105</v>
      </c>
      <c r="E440" s="6" t="s">
        <v>12</v>
      </c>
      <c r="F440" s="11"/>
      <c r="G440" s="6" t="s">
        <v>82</v>
      </c>
      <c r="H440" s="6" t="s">
        <v>404</v>
      </c>
      <c r="I440" s="10" t="str">
        <f t="shared" si="1"/>
        <v>_2025_</v>
      </c>
      <c r="J440" s="10" t="str">
        <f t="shared" si="2"/>
        <v>_7_</v>
      </c>
    </row>
    <row r="441" hidden="1">
      <c r="A441" s="5">
        <v>45852.0</v>
      </c>
      <c r="B441" s="6" t="s">
        <v>159</v>
      </c>
      <c r="C441" s="6" t="s">
        <v>20</v>
      </c>
      <c r="D441" s="17">
        <f>50+74</f>
        <v>124</v>
      </c>
      <c r="E441" s="6" t="s">
        <v>55</v>
      </c>
      <c r="F441" s="6" t="s">
        <v>334</v>
      </c>
      <c r="G441" s="6" t="s">
        <v>33</v>
      </c>
      <c r="H441" s="6" t="s">
        <v>405</v>
      </c>
      <c r="I441" s="10" t="str">
        <f t="shared" si="1"/>
        <v>_2025_</v>
      </c>
      <c r="J441" s="10" t="str">
        <f t="shared" si="2"/>
        <v>_7_</v>
      </c>
    </row>
    <row r="442" hidden="1">
      <c r="A442" s="5">
        <v>45852.0</v>
      </c>
      <c r="B442" s="6" t="s">
        <v>159</v>
      </c>
      <c r="C442" s="6" t="s">
        <v>20</v>
      </c>
      <c r="D442" s="17">
        <f>438/2</f>
        <v>219</v>
      </c>
      <c r="E442" s="6" t="s">
        <v>12</v>
      </c>
      <c r="F442" s="11"/>
      <c r="G442" s="11"/>
      <c r="H442" s="6" t="s">
        <v>406</v>
      </c>
      <c r="I442" s="10" t="str">
        <f t="shared" si="1"/>
        <v>_2025_</v>
      </c>
      <c r="J442" s="10" t="str">
        <f t="shared" si="2"/>
        <v>_7_</v>
      </c>
    </row>
    <row r="443" hidden="1">
      <c r="A443" s="5">
        <v>45853.0</v>
      </c>
      <c r="B443" s="6" t="s">
        <v>159</v>
      </c>
      <c r="C443" s="6" t="s">
        <v>65</v>
      </c>
      <c r="D443" s="7">
        <v>297.0</v>
      </c>
      <c r="E443" s="6" t="s">
        <v>12</v>
      </c>
      <c r="F443" s="11"/>
      <c r="G443" s="11"/>
      <c r="H443" s="6" t="s">
        <v>407</v>
      </c>
      <c r="I443" s="10" t="str">
        <f t="shared" si="1"/>
        <v>_2025_</v>
      </c>
      <c r="J443" s="10" t="str">
        <f t="shared" si="2"/>
        <v>_7_</v>
      </c>
    </row>
    <row r="444" hidden="1">
      <c r="A444" s="5">
        <v>45852.0</v>
      </c>
      <c r="B444" s="6" t="s">
        <v>159</v>
      </c>
      <c r="C444" s="6" t="s">
        <v>161</v>
      </c>
      <c r="D444" s="17">
        <f>550</f>
        <v>550</v>
      </c>
      <c r="E444" s="6" t="s">
        <v>12</v>
      </c>
      <c r="F444" s="11"/>
      <c r="G444" s="11"/>
      <c r="H444" s="6" t="s">
        <v>408</v>
      </c>
      <c r="I444" s="10" t="str">
        <f t="shared" si="1"/>
        <v>_2025_</v>
      </c>
      <c r="J444" s="10" t="str">
        <f t="shared" si="2"/>
        <v>_7_</v>
      </c>
    </row>
    <row r="445" hidden="1">
      <c r="A445" s="5">
        <v>45853.0</v>
      </c>
      <c r="B445" s="6" t="s">
        <v>159</v>
      </c>
      <c r="C445" s="6" t="s">
        <v>20</v>
      </c>
      <c r="D445" s="7">
        <f>275-200</f>
        <v>75</v>
      </c>
      <c r="E445" s="6" t="s">
        <v>12</v>
      </c>
      <c r="F445" s="11"/>
      <c r="G445" s="6" t="s">
        <v>82</v>
      </c>
      <c r="H445" s="6" t="s">
        <v>409</v>
      </c>
      <c r="I445" s="10" t="str">
        <f t="shared" si="1"/>
        <v>_2025_</v>
      </c>
      <c r="J445" s="10" t="str">
        <f t="shared" si="2"/>
        <v>_7_</v>
      </c>
    </row>
    <row r="446" hidden="1">
      <c r="A446" s="5">
        <v>45853.0</v>
      </c>
      <c r="B446" s="6" t="s">
        <v>159</v>
      </c>
      <c r="C446" s="6" t="s">
        <v>20</v>
      </c>
      <c r="D446" s="7">
        <v>40.0</v>
      </c>
      <c r="E446" s="6" t="s">
        <v>12</v>
      </c>
      <c r="F446" s="11"/>
      <c r="G446" s="6" t="s">
        <v>177</v>
      </c>
      <c r="H446" s="6" t="s">
        <v>410</v>
      </c>
      <c r="I446" s="10" t="str">
        <f t="shared" si="1"/>
        <v>_2025_</v>
      </c>
      <c r="J446" s="10" t="str">
        <f t="shared" si="2"/>
        <v>_7_</v>
      </c>
    </row>
    <row r="447" hidden="1">
      <c r="A447" s="5">
        <v>45853.0</v>
      </c>
      <c r="B447" s="6" t="s">
        <v>159</v>
      </c>
      <c r="C447" s="6" t="s">
        <v>20</v>
      </c>
      <c r="D447" s="7">
        <v>99.0</v>
      </c>
      <c r="E447" s="6" t="s">
        <v>12</v>
      </c>
      <c r="F447" s="11"/>
      <c r="G447" s="11"/>
      <c r="H447" s="6" t="s">
        <v>411</v>
      </c>
      <c r="I447" s="10" t="str">
        <f t="shared" si="1"/>
        <v>_2025_</v>
      </c>
      <c r="J447" s="10" t="str">
        <f t="shared" si="2"/>
        <v>_7_</v>
      </c>
    </row>
    <row r="448" hidden="1">
      <c r="A448" s="5">
        <v>45854.0</v>
      </c>
      <c r="B448" s="6" t="s">
        <v>159</v>
      </c>
      <c r="C448" s="6" t="s">
        <v>161</v>
      </c>
      <c r="D448" s="7">
        <v>400.0</v>
      </c>
      <c r="E448" s="6" t="s">
        <v>12</v>
      </c>
      <c r="F448" s="11"/>
      <c r="G448" s="11"/>
      <c r="H448" s="6" t="s">
        <v>412</v>
      </c>
      <c r="I448" s="10" t="str">
        <f t="shared" si="1"/>
        <v>_2025_</v>
      </c>
      <c r="J448" s="10" t="str">
        <f t="shared" si="2"/>
        <v>_7_</v>
      </c>
    </row>
    <row r="449" hidden="1">
      <c r="A449" s="5">
        <v>45854.0</v>
      </c>
      <c r="B449" s="6" t="s">
        <v>159</v>
      </c>
      <c r="C449" s="6" t="s">
        <v>20</v>
      </c>
      <c r="D449" s="7">
        <v>80.0</v>
      </c>
      <c r="E449" s="6" t="s">
        <v>12</v>
      </c>
      <c r="F449" s="11"/>
      <c r="G449" s="11"/>
      <c r="H449" s="6" t="s">
        <v>413</v>
      </c>
      <c r="I449" s="10" t="str">
        <f t="shared" si="1"/>
        <v>_2025_</v>
      </c>
      <c r="J449" s="10" t="str">
        <f t="shared" si="2"/>
        <v>_7_</v>
      </c>
    </row>
    <row r="450" hidden="1">
      <c r="A450" s="5">
        <v>45854.0</v>
      </c>
      <c r="B450" s="6" t="s">
        <v>21</v>
      </c>
      <c r="C450" s="6" t="s">
        <v>169</v>
      </c>
      <c r="D450" s="7">
        <v>210.0</v>
      </c>
      <c r="E450" s="6" t="s">
        <v>12</v>
      </c>
      <c r="F450" s="11"/>
      <c r="G450" s="11"/>
      <c r="H450" s="6" t="s">
        <v>414</v>
      </c>
      <c r="I450" s="10" t="str">
        <f t="shared" si="1"/>
        <v>_2025_</v>
      </c>
      <c r="J450" s="10" t="str">
        <f t="shared" si="2"/>
        <v>_7_</v>
      </c>
    </row>
    <row r="451" hidden="1">
      <c r="A451" s="5">
        <v>45855.0</v>
      </c>
      <c r="B451" s="6" t="s">
        <v>159</v>
      </c>
      <c r="C451" s="6" t="s">
        <v>20</v>
      </c>
      <c r="D451" s="7">
        <v>98.0</v>
      </c>
      <c r="E451" s="6" t="s">
        <v>55</v>
      </c>
      <c r="F451" s="6" t="s">
        <v>334</v>
      </c>
      <c r="G451" s="6" t="s">
        <v>30</v>
      </c>
      <c r="H451" s="11"/>
      <c r="I451" s="10" t="str">
        <f t="shared" si="1"/>
        <v>_2025_</v>
      </c>
      <c r="J451" s="10" t="str">
        <f t="shared" si="2"/>
        <v>_7_</v>
      </c>
    </row>
    <row r="452" hidden="1">
      <c r="A452" s="5">
        <v>45855.0</v>
      </c>
      <c r="B452" s="6" t="s">
        <v>159</v>
      </c>
      <c r="C452" s="6" t="s">
        <v>75</v>
      </c>
      <c r="D452" s="7">
        <v>30.0</v>
      </c>
      <c r="E452" s="6" t="s">
        <v>12</v>
      </c>
      <c r="F452" s="11"/>
      <c r="G452" s="11"/>
      <c r="H452" s="6" t="s">
        <v>415</v>
      </c>
      <c r="I452" s="10" t="str">
        <f t="shared" si="1"/>
        <v>_2025_</v>
      </c>
      <c r="J452" s="10" t="str">
        <f t="shared" si="2"/>
        <v>_7_</v>
      </c>
    </row>
    <row r="453" hidden="1">
      <c r="A453" s="5">
        <v>45855.0</v>
      </c>
      <c r="B453" s="6" t="s">
        <v>20</v>
      </c>
      <c r="C453" s="6" t="s">
        <v>25</v>
      </c>
      <c r="D453" s="17">
        <f>25+30</f>
        <v>55</v>
      </c>
      <c r="E453" s="6" t="s">
        <v>12</v>
      </c>
      <c r="F453" s="11"/>
      <c r="G453" s="11"/>
      <c r="H453" s="6" t="s">
        <v>416</v>
      </c>
      <c r="I453" s="10" t="str">
        <f t="shared" si="1"/>
        <v>_2025_</v>
      </c>
      <c r="J453" s="10" t="str">
        <f t="shared" si="2"/>
        <v>_7_</v>
      </c>
    </row>
    <row r="454" hidden="1">
      <c r="A454" s="5">
        <v>45851.0</v>
      </c>
      <c r="B454" s="6" t="s">
        <v>58</v>
      </c>
      <c r="C454" s="6" t="s">
        <v>58</v>
      </c>
      <c r="D454" s="17">
        <f>359-101</f>
        <v>258</v>
      </c>
      <c r="E454" s="6" t="s">
        <v>55</v>
      </c>
      <c r="F454" s="6" t="s">
        <v>334</v>
      </c>
      <c r="G454" s="6" t="s">
        <v>195</v>
      </c>
      <c r="H454" s="6" t="s">
        <v>417</v>
      </c>
      <c r="I454" s="10" t="str">
        <f t="shared" si="1"/>
        <v>_2025_</v>
      </c>
      <c r="J454" s="10" t="str">
        <f t="shared" si="2"/>
        <v>_7_</v>
      </c>
    </row>
    <row r="455" hidden="1">
      <c r="A455" s="5">
        <v>45853.0</v>
      </c>
      <c r="B455" s="6" t="s">
        <v>159</v>
      </c>
      <c r="C455" s="6" t="s">
        <v>20</v>
      </c>
      <c r="D455" s="17">
        <f>50+55</f>
        <v>105</v>
      </c>
      <c r="E455" s="6" t="s">
        <v>55</v>
      </c>
      <c r="F455" s="6" t="s">
        <v>334</v>
      </c>
      <c r="G455" s="6" t="s">
        <v>33</v>
      </c>
      <c r="H455" s="11"/>
      <c r="I455" s="10" t="str">
        <f t="shared" si="1"/>
        <v>_2025_</v>
      </c>
      <c r="J455" s="10" t="str">
        <f t="shared" si="2"/>
        <v>_7_</v>
      </c>
    </row>
    <row r="456" hidden="1">
      <c r="A456" s="5">
        <v>45851.0</v>
      </c>
      <c r="B456" s="6" t="s">
        <v>159</v>
      </c>
      <c r="C456" s="6" t="s">
        <v>20</v>
      </c>
      <c r="D456" s="7">
        <v>20.0</v>
      </c>
      <c r="E456" s="6" t="s">
        <v>12</v>
      </c>
      <c r="F456" s="11"/>
      <c r="G456" s="6" t="s">
        <v>47</v>
      </c>
      <c r="H456" s="6" t="s">
        <v>418</v>
      </c>
      <c r="I456" s="10" t="str">
        <f t="shared" si="1"/>
        <v>_2025_</v>
      </c>
      <c r="J456" s="10" t="str">
        <f t="shared" si="2"/>
        <v>_7_</v>
      </c>
    </row>
    <row r="457" hidden="1">
      <c r="A457" s="5">
        <v>45852.0</v>
      </c>
      <c r="B457" s="6" t="s">
        <v>159</v>
      </c>
      <c r="C457" s="6" t="s">
        <v>21</v>
      </c>
      <c r="D457" s="7">
        <v>97.0</v>
      </c>
      <c r="E457" s="6" t="s">
        <v>12</v>
      </c>
      <c r="F457" s="11"/>
      <c r="G457" s="6" t="s">
        <v>47</v>
      </c>
      <c r="H457" s="6" t="s">
        <v>419</v>
      </c>
      <c r="I457" s="10" t="str">
        <f t="shared" si="1"/>
        <v>_2025_</v>
      </c>
      <c r="J457" s="10" t="str">
        <f t="shared" si="2"/>
        <v>_7_</v>
      </c>
    </row>
    <row r="458" hidden="1">
      <c r="A458" s="5">
        <v>45853.0</v>
      </c>
      <c r="B458" s="6" t="s">
        <v>159</v>
      </c>
      <c r="C458" s="6" t="s">
        <v>20</v>
      </c>
      <c r="D458" s="7">
        <v>22.0</v>
      </c>
      <c r="E458" s="6" t="s">
        <v>12</v>
      </c>
      <c r="F458" s="11"/>
      <c r="G458" s="6" t="s">
        <v>47</v>
      </c>
      <c r="H458" s="6" t="s">
        <v>420</v>
      </c>
      <c r="I458" s="10" t="str">
        <f t="shared" si="1"/>
        <v>_2025_</v>
      </c>
      <c r="J458" s="10" t="str">
        <f t="shared" si="2"/>
        <v>_7_</v>
      </c>
    </row>
    <row r="459" hidden="1">
      <c r="A459" s="5">
        <v>45854.0</v>
      </c>
      <c r="B459" s="6" t="s">
        <v>159</v>
      </c>
      <c r="C459" s="6" t="s">
        <v>20</v>
      </c>
      <c r="D459" s="7">
        <v>54.0</v>
      </c>
      <c r="E459" s="6" t="s">
        <v>12</v>
      </c>
      <c r="F459" s="11"/>
      <c r="G459" s="6" t="s">
        <v>47</v>
      </c>
      <c r="H459" s="6" t="s">
        <v>48</v>
      </c>
      <c r="I459" s="10" t="str">
        <f t="shared" si="1"/>
        <v>_2025_</v>
      </c>
      <c r="J459" s="10" t="str">
        <f t="shared" si="2"/>
        <v>_7_</v>
      </c>
    </row>
    <row r="460" hidden="1">
      <c r="A460" s="5">
        <v>45855.0</v>
      </c>
      <c r="B460" s="6" t="s">
        <v>159</v>
      </c>
      <c r="C460" s="6" t="s">
        <v>20</v>
      </c>
      <c r="D460" s="7">
        <v>28.0</v>
      </c>
      <c r="E460" s="6" t="s">
        <v>12</v>
      </c>
      <c r="F460" s="11"/>
      <c r="G460" s="6" t="s">
        <v>47</v>
      </c>
      <c r="H460" s="6" t="s">
        <v>421</v>
      </c>
      <c r="I460" s="10" t="str">
        <f t="shared" si="1"/>
        <v>_2025_</v>
      </c>
      <c r="J460" s="10" t="str">
        <f t="shared" si="2"/>
        <v>_7_</v>
      </c>
    </row>
    <row r="461" hidden="1">
      <c r="A461" s="5">
        <v>45856.0</v>
      </c>
      <c r="B461" s="6" t="s">
        <v>20</v>
      </c>
      <c r="C461" s="6" t="s">
        <v>25</v>
      </c>
      <c r="D461" s="17">
        <f>20+40+130+100</f>
        <v>290</v>
      </c>
      <c r="E461" s="6" t="s">
        <v>12</v>
      </c>
      <c r="F461" s="11"/>
      <c r="G461" s="11"/>
      <c r="H461" s="6" t="s">
        <v>422</v>
      </c>
      <c r="I461" s="10" t="str">
        <f t="shared" si="1"/>
        <v>_2025_</v>
      </c>
      <c r="J461" s="10" t="str">
        <f t="shared" si="2"/>
        <v>_7_</v>
      </c>
    </row>
    <row r="462" hidden="1">
      <c r="A462" s="5">
        <v>45857.0</v>
      </c>
      <c r="B462" s="6" t="s">
        <v>20</v>
      </c>
      <c r="C462" s="6" t="s">
        <v>32</v>
      </c>
      <c r="D462" s="7">
        <v>114.0</v>
      </c>
      <c r="E462" s="6" t="s">
        <v>12</v>
      </c>
      <c r="F462" s="11"/>
      <c r="G462" s="6" t="s">
        <v>47</v>
      </c>
      <c r="H462" s="6" t="s">
        <v>423</v>
      </c>
      <c r="I462" s="10" t="str">
        <f t="shared" si="1"/>
        <v>_2025_</v>
      </c>
      <c r="J462" s="10" t="str">
        <f t="shared" si="2"/>
        <v>_7_</v>
      </c>
    </row>
    <row r="463" hidden="1">
      <c r="A463" s="5">
        <v>45857.0</v>
      </c>
      <c r="B463" s="6" t="s">
        <v>20</v>
      </c>
      <c r="C463" s="6" t="s">
        <v>25</v>
      </c>
      <c r="D463" s="7">
        <v>159.0</v>
      </c>
      <c r="E463" s="6" t="s">
        <v>55</v>
      </c>
      <c r="F463" s="6" t="s">
        <v>334</v>
      </c>
      <c r="G463" s="6" t="s">
        <v>30</v>
      </c>
      <c r="H463" s="11"/>
      <c r="I463" s="10" t="str">
        <f t="shared" si="1"/>
        <v>_2025_</v>
      </c>
      <c r="J463" s="10" t="str">
        <f t="shared" si="2"/>
        <v>_7_</v>
      </c>
    </row>
    <row r="464" hidden="1">
      <c r="A464" s="5">
        <v>45858.0</v>
      </c>
      <c r="B464" s="6" t="s">
        <v>20</v>
      </c>
      <c r="C464" s="6" t="s">
        <v>32</v>
      </c>
      <c r="D464" s="7">
        <v>40.0</v>
      </c>
      <c r="E464" s="6" t="s">
        <v>12</v>
      </c>
      <c r="F464" s="6" t="s">
        <v>18</v>
      </c>
      <c r="G464" s="11"/>
      <c r="H464" s="6" t="s">
        <v>424</v>
      </c>
      <c r="I464" s="10" t="str">
        <f t="shared" si="1"/>
        <v>_2025_</v>
      </c>
      <c r="J464" s="10" t="str">
        <f t="shared" si="2"/>
        <v>_7_</v>
      </c>
    </row>
    <row r="465" hidden="1">
      <c r="A465" s="5">
        <v>45858.0</v>
      </c>
      <c r="B465" s="6" t="s">
        <v>20</v>
      </c>
      <c r="C465" s="6" t="s">
        <v>25</v>
      </c>
      <c r="D465" s="7">
        <v>89.5</v>
      </c>
      <c r="E465" s="6" t="s">
        <v>12</v>
      </c>
      <c r="F465" s="11"/>
      <c r="G465" s="6" t="s">
        <v>82</v>
      </c>
      <c r="H465" s="6" t="s">
        <v>425</v>
      </c>
      <c r="I465" s="10" t="str">
        <f t="shared" si="1"/>
        <v>_2025_</v>
      </c>
      <c r="J465" s="10" t="str">
        <f t="shared" si="2"/>
        <v>_7_</v>
      </c>
    </row>
    <row r="466" hidden="1">
      <c r="A466" s="5">
        <v>45858.0</v>
      </c>
      <c r="B466" s="6" t="s">
        <v>20</v>
      </c>
      <c r="C466" s="6" t="s">
        <v>35</v>
      </c>
      <c r="D466" s="17">
        <f>147.5+55+11.5+127.25+19+51+(89/2)</f>
        <v>455.75</v>
      </c>
      <c r="E466" s="6" t="s">
        <v>55</v>
      </c>
      <c r="F466" s="6" t="s">
        <v>334</v>
      </c>
      <c r="G466" s="6" t="s">
        <v>36</v>
      </c>
      <c r="H466" s="6" t="s">
        <v>426</v>
      </c>
      <c r="I466" s="10" t="str">
        <f t="shared" si="1"/>
        <v>_2025_</v>
      </c>
      <c r="J466" s="10" t="str">
        <f t="shared" si="2"/>
        <v>_7_</v>
      </c>
    </row>
    <row r="467" hidden="1">
      <c r="A467" s="5">
        <v>45858.0</v>
      </c>
      <c r="B467" s="6" t="s">
        <v>58</v>
      </c>
      <c r="C467" s="6" t="s">
        <v>58</v>
      </c>
      <c r="D467" s="17">
        <f>658.25-455.75</f>
        <v>202.5</v>
      </c>
      <c r="E467" s="6" t="s">
        <v>55</v>
      </c>
      <c r="F467" s="6" t="s">
        <v>334</v>
      </c>
      <c r="G467" s="6" t="s">
        <v>36</v>
      </c>
      <c r="H467" s="6"/>
      <c r="I467" s="10" t="str">
        <f t="shared" si="1"/>
        <v>_2025_</v>
      </c>
      <c r="J467" s="10" t="str">
        <f t="shared" si="2"/>
        <v>_7_</v>
      </c>
    </row>
    <row r="468" hidden="1">
      <c r="A468" s="5">
        <v>45859.0</v>
      </c>
      <c r="B468" s="6" t="s">
        <v>62</v>
      </c>
      <c r="C468" s="6" t="s">
        <v>86</v>
      </c>
      <c r="D468" s="7">
        <v>193.35</v>
      </c>
      <c r="E468" s="6" t="s">
        <v>12</v>
      </c>
      <c r="F468" s="11"/>
      <c r="G468" s="11"/>
      <c r="H468" s="6" t="s">
        <v>320</v>
      </c>
      <c r="I468" s="10" t="str">
        <f t="shared" si="1"/>
        <v>_2025_</v>
      </c>
      <c r="J468" s="10" t="str">
        <f t="shared" si="2"/>
        <v>_7_</v>
      </c>
    </row>
    <row r="469" hidden="1">
      <c r="A469" s="5">
        <v>45859.0</v>
      </c>
      <c r="B469" s="6" t="s">
        <v>20</v>
      </c>
      <c r="C469" s="6" t="s">
        <v>25</v>
      </c>
      <c r="D469" s="7">
        <v>50.0</v>
      </c>
      <c r="E469" s="6" t="s">
        <v>12</v>
      </c>
      <c r="F469" s="11"/>
      <c r="G469" s="6" t="s">
        <v>177</v>
      </c>
      <c r="H469" s="6" t="s">
        <v>178</v>
      </c>
      <c r="I469" s="10" t="str">
        <f t="shared" si="1"/>
        <v>_2025_</v>
      </c>
      <c r="J469" s="10" t="str">
        <f t="shared" si="2"/>
        <v>_7_</v>
      </c>
    </row>
    <row r="470" hidden="1">
      <c r="A470" s="5">
        <v>45860.0</v>
      </c>
      <c r="B470" s="6" t="s">
        <v>20</v>
      </c>
      <c r="C470" s="6" t="s">
        <v>25</v>
      </c>
      <c r="D470" s="7">
        <v>50.0</v>
      </c>
      <c r="E470" s="6" t="s">
        <v>12</v>
      </c>
      <c r="F470" s="11"/>
      <c r="G470" s="6" t="s">
        <v>177</v>
      </c>
      <c r="H470" s="11"/>
      <c r="I470" s="10" t="str">
        <f t="shared" si="1"/>
        <v>_2025_</v>
      </c>
      <c r="J470" s="10" t="str">
        <f t="shared" si="2"/>
        <v>_7_</v>
      </c>
    </row>
    <row r="471" hidden="1">
      <c r="A471" s="5">
        <v>45860.0</v>
      </c>
      <c r="B471" s="6" t="s">
        <v>20</v>
      </c>
      <c r="C471" s="6" t="s">
        <v>31</v>
      </c>
      <c r="D471" s="7">
        <v>30.0</v>
      </c>
      <c r="E471" s="6" t="s">
        <v>12</v>
      </c>
      <c r="F471" s="11"/>
      <c r="G471" s="11"/>
      <c r="H471" s="6" t="s">
        <v>223</v>
      </c>
      <c r="I471" s="10" t="str">
        <f t="shared" si="1"/>
        <v>_2025_</v>
      </c>
      <c r="J471" s="10" t="str">
        <f t="shared" si="2"/>
        <v>_7_</v>
      </c>
    </row>
    <row r="472" hidden="1">
      <c r="A472" s="5">
        <v>45854.0</v>
      </c>
      <c r="B472" s="6" t="s">
        <v>159</v>
      </c>
      <c r="C472" s="6" t="s">
        <v>16</v>
      </c>
      <c r="D472" s="7">
        <v>650.0</v>
      </c>
      <c r="E472" s="6" t="s">
        <v>17</v>
      </c>
      <c r="F472" s="6" t="s">
        <v>334</v>
      </c>
      <c r="G472" s="6" t="s">
        <v>19</v>
      </c>
      <c r="H472" s="11"/>
      <c r="I472" s="10" t="str">
        <f t="shared" si="1"/>
        <v>_2025_</v>
      </c>
      <c r="J472" s="10" t="str">
        <f t="shared" si="2"/>
        <v>_7_</v>
      </c>
    </row>
    <row r="473" hidden="1">
      <c r="A473" s="5">
        <v>45850.0</v>
      </c>
      <c r="B473" s="6" t="s">
        <v>159</v>
      </c>
      <c r="C473" s="6" t="s">
        <v>16</v>
      </c>
      <c r="D473" s="7">
        <v>750.0</v>
      </c>
      <c r="E473" s="6" t="s">
        <v>17</v>
      </c>
      <c r="F473" s="6" t="s">
        <v>334</v>
      </c>
      <c r="G473" s="6" t="s">
        <v>77</v>
      </c>
      <c r="H473" s="11"/>
      <c r="I473" s="10" t="str">
        <f t="shared" si="1"/>
        <v>_2025_</v>
      </c>
      <c r="J473" s="10" t="str">
        <f t="shared" si="2"/>
        <v>_7_</v>
      </c>
    </row>
    <row r="474" hidden="1">
      <c r="A474" s="5">
        <v>45862.0</v>
      </c>
      <c r="B474" s="6" t="s">
        <v>20</v>
      </c>
      <c r="C474" s="6" t="s">
        <v>25</v>
      </c>
      <c r="D474" s="7">
        <v>186.0</v>
      </c>
      <c r="E474" s="6" t="s">
        <v>55</v>
      </c>
      <c r="F474" s="6" t="s">
        <v>334</v>
      </c>
      <c r="G474" s="6" t="s">
        <v>229</v>
      </c>
      <c r="H474" s="11"/>
      <c r="I474" s="10" t="str">
        <f t="shared" si="1"/>
        <v>_2025_</v>
      </c>
      <c r="J474" s="10" t="str">
        <f t="shared" si="2"/>
        <v>_7_</v>
      </c>
    </row>
    <row r="475" hidden="1">
      <c r="A475" s="5">
        <v>45862.0</v>
      </c>
      <c r="B475" s="6" t="s">
        <v>20</v>
      </c>
      <c r="C475" s="6" t="s">
        <v>35</v>
      </c>
      <c r="D475" s="17">
        <f>45+46+20</f>
        <v>111</v>
      </c>
      <c r="E475" s="6" t="s">
        <v>12</v>
      </c>
      <c r="F475" s="11"/>
      <c r="G475" s="11"/>
      <c r="H475" s="6" t="s">
        <v>427</v>
      </c>
      <c r="I475" s="10" t="str">
        <f t="shared" si="1"/>
        <v>_2025_</v>
      </c>
      <c r="J475" s="10" t="str">
        <f t="shared" si="2"/>
        <v>_7_</v>
      </c>
    </row>
    <row r="476" hidden="1">
      <c r="A476" s="5">
        <v>45862.0</v>
      </c>
      <c r="B476" s="6" t="s">
        <v>20</v>
      </c>
      <c r="C476" s="6" t="s">
        <v>32</v>
      </c>
      <c r="D476" s="7">
        <v>100.0</v>
      </c>
      <c r="E476" s="6" t="s">
        <v>12</v>
      </c>
      <c r="F476" s="11"/>
      <c r="G476" s="6" t="s">
        <v>47</v>
      </c>
      <c r="H476" s="6" t="s">
        <v>428</v>
      </c>
      <c r="I476" s="10" t="str">
        <f t="shared" si="1"/>
        <v>_2025_</v>
      </c>
      <c r="J476" s="10" t="str">
        <f t="shared" si="2"/>
        <v>_7_</v>
      </c>
    </row>
    <row r="477" hidden="1">
      <c r="A477" s="5">
        <v>45862.0</v>
      </c>
      <c r="B477" s="6" t="s">
        <v>27</v>
      </c>
      <c r="C477" s="6" t="s">
        <v>28</v>
      </c>
      <c r="D477" s="7">
        <v>65.0</v>
      </c>
      <c r="E477" s="6" t="s">
        <v>12</v>
      </c>
      <c r="F477" s="11"/>
      <c r="G477" s="6" t="s">
        <v>47</v>
      </c>
      <c r="H477" s="6" t="s">
        <v>429</v>
      </c>
      <c r="I477" s="10" t="str">
        <f t="shared" si="1"/>
        <v>_2025_</v>
      </c>
      <c r="J477" s="10" t="str">
        <f t="shared" si="2"/>
        <v>_7_</v>
      </c>
    </row>
    <row r="478" hidden="1">
      <c r="A478" s="5">
        <v>45863.0</v>
      </c>
      <c r="B478" s="6" t="s">
        <v>23</v>
      </c>
      <c r="C478" s="6" t="s">
        <v>24</v>
      </c>
      <c r="D478" s="7">
        <v>43523.86</v>
      </c>
      <c r="E478" s="6" t="s">
        <v>12</v>
      </c>
      <c r="F478" s="11"/>
      <c r="G478" s="11"/>
      <c r="H478" s="6" t="s">
        <v>430</v>
      </c>
      <c r="I478" s="10" t="str">
        <f t="shared" si="1"/>
        <v>_2025_</v>
      </c>
      <c r="J478" s="10" t="str">
        <f t="shared" si="2"/>
        <v>_7_</v>
      </c>
    </row>
    <row r="479" hidden="1">
      <c r="A479" s="5">
        <v>45863.0</v>
      </c>
      <c r="B479" s="6" t="s">
        <v>42</v>
      </c>
      <c r="C479" s="6" t="s">
        <v>96</v>
      </c>
      <c r="D479" s="7">
        <v>450.0</v>
      </c>
      <c r="E479" s="6" t="s">
        <v>12</v>
      </c>
      <c r="F479" s="11"/>
      <c r="G479" s="11"/>
      <c r="H479" s="11"/>
      <c r="I479" s="10" t="str">
        <f t="shared" si="1"/>
        <v>_2025_</v>
      </c>
      <c r="J479" s="10" t="str">
        <f t="shared" si="2"/>
        <v>_7_</v>
      </c>
    </row>
    <row r="480" hidden="1">
      <c r="A480" s="5">
        <v>45863.0</v>
      </c>
      <c r="B480" s="6" t="s">
        <v>42</v>
      </c>
      <c r="C480" s="6" t="s">
        <v>94</v>
      </c>
      <c r="D480" s="7">
        <v>650.0</v>
      </c>
      <c r="E480" s="6" t="s">
        <v>12</v>
      </c>
      <c r="F480" s="11"/>
      <c r="G480" s="11"/>
      <c r="H480" s="11"/>
      <c r="I480" s="10" t="str">
        <f t="shared" si="1"/>
        <v>_2025_</v>
      </c>
      <c r="J480" s="10" t="str">
        <f t="shared" si="2"/>
        <v>_7_</v>
      </c>
    </row>
    <row r="481" hidden="1">
      <c r="A481" s="5">
        <v>45863.0</v>
      </c>
      <c r="B481" s="6" t="s">
        <v>21</v>
      </c>
      <c r="C481" s="6" t="s">
        <v>101</v>
      </c>
      <c r="D481" s="7">
        <v>8251.0</v>
      </c>
      <c r="E481" s="6" t="s">
        <v>12</v>
      </c>
      <c r="F481" s="11"/>
      <c r="G481" s="6" t="s">
        <v>431</v>
      </c>
      <c r="H481" s="6" t="s">
        <v>432</v>
      </c>
      <c r="I481" s="10" t="str">
        <f t="shared" si="1"/>
        <v>_2025_</v>
      </c>
      <c r="J481" s="10" t="str">
        <f t="shared" si="2"/>
        <v>_7_</v>
      </c>
    </row>
    <row r="482" hidden="1">
      <c r="A482" s="5">
        <v>45863.0</v>
      </c>
      <c r="B482" s="6" t="s">
        <v>21</v>
      </c>
      <c r="C482" s="6" t="s">
        <v>101</v>
      </c>
      <c r="D482" s="7">
        <v>2500.0</v>
      </c>
      <c r="E482" s="6" t="s">
        <v>12</v>
      </c>
      <c r="F482" s="11"/>
      <c r="G482" s="6" t="s">
        <v>433</v>
      </c>
      <c r="H482" s="6" t="s">
        <v>434</v>
      </c>
      <c r="I482" s="10" t="str">
        <f t="shared" si="1"/>
        <v>_2025_</v>
      </c>
      <c r="J482" s="10" t="str">
        <f t="shared" si="2"/>
        <v>_7_</v>
      </c>
    </row>
    <row r="483" hidden="1">
      <c r="A483" s="5">
        <v>45863.0</v>
      </c>
      <c r="B483" s="6" t="s">
        <v>62</v>
      </c>
      <c r="C483" s="6" t="s">
        <v>140</v>
      </c>
      <c r="D483" s="7">
        <v>26.34</v>
      </c>
      <c r="E483" s="6" t="s">
        <v>12</v>
      </c>
      <c r="F483" s="11"/>
      <c r="G483" s="11"/>
      <c r="H483" s="6" t="s">
        <v>435</v>
      </c>
      <c r="I483" s="10" t="str">
        <f t="shared" si="1"/>
        <v>_2025_</v>
      </c>
      <c r="J483" s="10" t="str">
        <f t="shared" si="2"/>
        <v>_7_</v>
      </c>
    </row>
    <row r="484" hidden="1">
      <c r="A484" s="5">
        <v>45863.0</v>
      </c>
      <c r="B484" s="6" t="s">
        <v>10</v>
      </c>
      <c r="C484" s="6" t="s">
        <v>13</v>
      </c>
      <c r="D484" s="7">
        <v>600.0</v>
      </c>
      <c r="E484" s="6" t="s">
        <v>12</v>
      </c>
      <c r="F484" s="11"/>
      <c r="G484" s="11"/>
      <c r="H484" s="6" t="s">
        <v>436</v>
      </c>
      <c r="I484" s="10" t="str">
        <f t="shared" si="1"/>
        <v>_2025_</v>
      </c>
      <c r="J484" s="10" t="str">
        <f t="shared" si="2"/>
        <v>_7_</v>
      </c>
    </row>
    <row r="485" hidden="1">
      <c r="A485" s="5">
        <v>45863.0</v>
      </c>
      <c r="B485" s="6" t="s">
        <v>27</v>
      </c>
      <c r="C485" s="6" t="s">
        <v>116</v>
      </c>
      <c r="D485" s="17">
        <f>3315</f>
        <v>3315</v>
      </c>
      <c r="E485" s="6" t="s">
        <v>17</v>
      </c>
      <c r="F485" s="6" t="s">
        <v>334</v>
      </c>
      <c r="G485" s="11"/>
      <c r="H485" s="6" t="s">
        <v>437</v>
      </c>
      <c r="I485" s="10" t="str">
        <f t="shared" si="1"/>
        <v>_2025_</v>
      </c>
      <c r="J485" s="10" t="str">
        <f t="shared" si="2"/>
        <v>_7_</v>
      </c>
    </row>
    <row r="486" hidden="1">
      <c r="A486" s="5">
        <v>45863.0</v>
      </c>
      <c r="B486" s="6" t="s">
        <v>20</v>
      </c>
      <c r="C486" s="6" t="s">
        <v>305</v>
      </c>
      <c r="D486" s="7">
        <v>249.5</v>
      </c>
      <c r="E486" s="6" t="s">
        <v>12</v>
      </c>
      <c r="F486" s="11"/>
      <c r="G486" s="11"/>
      <c r="H486" s="6" t="s">
        <v>438</v>
      </c>
      <c r="I486" s="10" t="str">
        <f t="shared" si="1"/>
        <v>_2025_</v>
      </c>
      <c r="J486" s="10" t="str">
        <f t="shared" si="2"/>
        <v>_7_</v>
      </c>
    </row>
    <row r="487" hidden="1">
      <c r="A487" s="5">
        <v>45863.0</v>
      </c>
      <c r="B487" s="6" t="s">
        <v>15</v>
      </c>
      <c r="C487" s="6" t="s">
        <v>75</v>
      </c>
      <c r="D487" s="17">
        <f>60+50</f>
        <v>110</v>
      </c>
      <c r="E487" s="6" t="s">
        <v>12</v>
      </c>
      <c r="F487" s="11"/>
      <c r="G487" s="11"/>
      <c r="H487" s="6" t="s">
        <v>439</v>
      </c>
      <c r="I487" s="10" t="str">
        <f t="shared" si="1"/>
        <v>_2025_</v>
      </c>
      <c r="J487" s="10" t="str">
        <f t="shared" si="2"/>
        <v>_7_</v>
      </c>
    </row>
    <row r="488" hidden="1">
      <c r="A488" s="5">
        <v>45864.0</v>
      </c>
      <c r="B488" s="6" t="s">
        <v>15</v>
      </c>
      <c r="C488" s="6" t="s">
        <v>16</v>
      </c>
      <c r="D488" s="7">
        <v>750.0</v>
      </c>
      <c r="E488" s="6" t="s">
        <v>17</v>
      </c>
      <c r="F488" s="6" t="s">
        <v>334</v>
      </c>
      <c r="G488" s="6" t="s">
        <v>77</v>
      </c>
      <c r="H488" s="11"/>
      <c r="I488" s="10" t="str">
        <f t="shared" si="1"/>
        <v>_2025_</v>
      </c>
      <c r="J488" s="10" t="str">
        <f t="shared" si="2"/>
        <v>_7_</v>
      </c>
    </row>
    <row r="489" hidden="1">
      <c r="A489" s="5">
        <v>45865.0</v>
      </c>
      <c r="B489" s="6" t="s">
        <v>159</v>
      </c>
      <c r="C489" s="6" t="s">
        <v>21</v>
      </c>
      <c r="D489" s="7">
        <v>1492.0</v>
      </c>
      <c r="E489" s="6" t="s">
        <v>12</v>
      </c>
      <c r="F489" s="11"/>
      <c r="G489" s="11"/>
      <c r="H489" s="6" t="s">
        <v>440</v>
      </c>
      <c r="I489" s="10" t="str">
        <f t="shared" si="1"/>
        <v>_2025_</v>
      </c>
      <c r="J489" s="10" t="str">
        <f t="shared" si="2"/>
        <v>_7_</v>
      </c>
    </row>
    <row r="490" hidden="1">
      <c r="A490" s="5">
        <v>45864.0</v>
      </c>
      <c r="B490" s="6" t="s">
        <v>20</v>
      </c>
      <c r="C490" s="6" t="s">
        <v>32</v>
      </c>
      <c r="D490" s="7">
        <v>50.0</v>
      </c>
      <c r="E490" s="6" t="s">
        <v>55</v>
      </c>
      <c r="F490" s="6" t="s">
        <v>334</v>
      </c>
      <c r="G490" s="6" t="s">
        <v>33</v>
      </c>
      <c r="H490" s="6" t="s">
        <v>34</v>
      </c>
      <c r="I490" s="10" t="str">
        <f t="shared" si="1"/>
        <v>_2025_</v>
      </c>
      <c r="J490" s="10" t="str">
        <f t="shared" si="2"/>
        <v>_7_</v>
      </c>
    </row>
    <row r="491" hidden="1">
      <c r="A491" s="5">
        <v>45865.0</v>
      </c>
      <c r="B491" s="6" t="s">
        <v>159</v>
      </c>
      <c r="C491" s="6" t="s">
        <v>20</v>
      </c>
      <c r="D491" s="17">
        <f>20+20+70+75</f>
        <v>185</v>
      </c>
      <c r="E491" s="6" t="s">
        <v>12</v>
      </c>
      <c r="F491" s="11"/>
      <c r="G491" s="11"/>
      <c r="H491" s="6" t="s">
        <v>441</v>
      </c>
      <c r="I491" s="10" t="str">
        <f t="shared" si="1"/>
        <v>_2025_</v>
      </c>
      <c r="J491" s="10" t="str">
        <f t="shared" si="2"/>
        <v>_7_</v>
      </c>
    </row>
    <row r="492" hidden="1">
      <c r="A492" s="5">
        <v>45865.0</v>
      </c>
      <c r="B492" s="6" t="s">
        <v>15</v>
      </c>
      <c r="C492" s="6" t="s">
        <v>75</v>
      </c>
      <c r="D492" s="7">
        <v>35.0</v>
      </c>
      <c r="E492" s="6" t="s">
        <v>150</v>
      </c>
      <c r="F492" s="11"/>
      <c r="G492" s="11"/>
      <c r="H492" s="6" t="s">
        <v>442</v>
      </c>
      <c r="I492" s="10" t="str">
        <f t="shared" si="1"/>
        <v>_2025_</v>
      </c>
      <c r="J492" s="10" t="str">
        <f t="shared" si="2"/>
        <v>_7_</v>
      </c>
    </row>
    <row r="493" hidden="1">
      <c r="A493" s="5">
        <v>45866.0</v>
      </c>
      <c r="B493" s="6" t="s">
        <v>20</v>
      </c>
      <c r="C493" s="6" t="s">
        <v>25</v>
      </c>
      <c r="D493" s="7">
        <v>40.0</v>
      </c>
      <c r="E493" s="6" t="s">
        <v>12</v>
      </c>
      <c r="F493" s="11"/>
      <c r="G493" s="6" t="s">
        <v>82</v>
      </c>
      <c r="H493" s="11"/>
      <c r="I493" s="10" t="str">
        <f t="shared" si="1"/>
        <v>_2025_</v>
      </c>
      <c r="J493" s="10" t="str">
        <f t="shared" si="2"/>
        <v>_7_</v>
      </c>
    </row>
    <row r="494" hidden="1">
      <c r="A494" s="5">
        <v>45866.0</v>
      </c>
      <c r="B494" s="6" t="s">
        <v>20</v>
      </c>
      <c r="C494" s="6" t="s">
        <v>31</v>
      </c>
      <c r="D494" s="7">
        <v>139.0</v>
      </c>
      <c r="E494" s="6" t="s">
        <v>55</v>
      </c>
      <c r="F494" s="6" t="s">
        <v>334</v>
      </c>
      <c r="G494" s="11"/>
      <c r="H494" s="6" t="s">
        <v>443</v>
      </c>
      <c r="I494" s="10" t="str">
        <f t="shared" si="1"/>
        <v>_2025_</v>
      </c>
      <c r="J494" s="10" t="str">
        <f t="shared" si="2"/>
        <v>_7_</v>
      </c>
    </row>
    <row r="495" hidden="1">
      <c r="A495" s="5">
        <v>45866.0</v>
      </c>
      <c r="B495" s="6" t="s">
        <v>15</v>
      </c>
      <c r="C495" s="6" t="s">
        <v>16</v>
      </c>
      <c r="D495" s="7">
        <v>750.0</v>
      </c>
      <c r="E495" s="6" t="s">
        <v>17</v>
      </c>
      <c r="F495" s="6" t="s">
        <v>334</v>
      </c>
      <c r="G495" s="6" t="s">
        <v>77</v>
      </c>
      <c r="H495" s="11"/>
      <c r="I495" s="10" t="str">
        <f t="shared" si="1"/>
        <v>_2025_</v>
      </c>
      <c r="J495" s="10" t="str">
        <f t="shared" si="2"/>
        <v>_7_</v>
      </c>
    </row>
    <row r="496" hidden="1">
      <c r="A496" s="5">
        <v>45866.0</v>
      </c>
      <c r="B496" s="6" t="s">
        <v>27</v>
      </c>
      <c r="C496" s="6" t="s">
        <v>154</v>
      </c>
      <c r="D496" s="7">
        <v>980.0</v>
      </c>
      <c r="E496" s="6" t="s">
        <v>55</v>
      </c>
      <c r="F496" s="6" t="s">
        <v>334</v>
      </c>
      <c r="G496" s="6" t="s">
        <v>156</v>
      </c>
      <c r="H496" s="6" t="s">
        <v>444</v>
      </c>
      <c r="I496" s="10" t="str">
        <f t="shared" si="1"/>
        <v>_2025_</v>
      </c>
      <c r="J496" s="10" t="str">
        <f t="shared" si="2"/>
        <v>_7_</v>
      </c>
    </row>
    <row r="497" hidden="1">
      <c r="A497" s="5">
        <v>45866.0</v>
      </c>
      <c r="B497" s="6" t="s">
        <v>172</v>
      </c>
      <c r="C497" s="6" t="s">
        <v>21</v>
      </c>
      <c r="D497" s="7">
        <v>67.0</v>
      </c>
      <c r="E497" s="6" t="s">
        <v>55</v>
      </c>
      <c r="F497" s="6" t="s">
        <v>334</v>
      </c>
      <c r="G497" s="6" t="s">
        <v>36</v>
      </c>
      <c r="H497" s="6" t="s">
        <v>445</v>
      </c>
      <c r="I497" s="10" t="str">
        <f t="shared" si="1"/>
        <v>_2025_</v>
      </c>
      <c r="J497" s="10" t="str">
        <f t="shared" si="2"/>
        <v>_7_</v>
      </c>
    </row>
    <row r="498" hidden="1">
      <c r="A498" s="5">
        <v>45866.0</v>
      </c>
      <c r="B498" s="6" t="s">
        <v>23</v>
      </c>
      <c r="C498" s="6" t="s">
        <v>112</v>
      </c>
      <c r="D498" s="7">
        <v>175.81</v>
      </c>
      <c r="E498" s="6" t="s">
        <v>12</v>
      </c>
      <c r="F498" s="11"/>
      <c r="G498" s="11"/>
      <c r="H498" s="6" t="s">
        <v>324</v>
      </c>
      <c r="I498" s="10" t="str">
        <f t="shared" si="1"/>
        <v>_2025_</v>
      </c>
      <c r="J498" s="10" t="str">
        <f t="shared" si="2"/>
        <v>_7_</v>
      </c>
    </row>
    <row r="499" hidden="1">
      <c r="A499" s="5">
        <v>45866.0</v>
      </c>
      <c r="B499" s="6" t="s">
        <v>20</v>
      </c>
      <c r="C499" s="6" t="s">
        <v>35</v>
      </c>
      <c r="D499" s="7">
        <v>50.0</v>
      </c>
      <c r="E499" s="6" t="s">
        <v>55</v>
      </c>
      <c r="F499" s="6" t="s">
        <v>334</v>
      </c>
      <c r="G499" s="6" t="s">
        <v>36</v>
      </c>
      <c r="H499" s="6" t="s">
        <v>446</v>
      </c>
      <c r="I499" s="10" t="str">
        <f t="shared" si="1"/>
        <v>_2025_</v>
      </c>
      <c r="J499" s="10" t="str">
        <f t="shared" si="2"/>
        <v>_7_</v>
      </c>
    </row>
    <row r="500" hidden="1">
      <c r="A500" s="5">
        <v>45866.0</v>
      </c>
      <c r="B500" s="6" t="s">
        <v>20</v>
      </c>
      <c r="C500" s="6" t="s">
        <v>31</v>
      </c>
      <c r="D500" s="17">
        <f>55+27</f>
        <v>82</v>
      </c>
      <c r="E500" s="6" t="s">
        <v>55</v>
      </c>
      <c r="F500" s="6" t="s">
        <v>334</v>
      </c>
      <c r="G500" s="6" t="s">
        <v>36</v>
      </c>
      <c r="H500" s="6" t="s">
        <v>447</v>
      </c>
      <c r="I500" s="10" t="str">
        <f t="shared" si="1"/>
        <v>_2025_</v>
      </c>
      <c r="J500" s="10" t="str">
        <f t="shared" si="2"/>
        <v>_7_</v>
      </c>
    </row>
    <row r="501" hidden="1">
      <c r="A501" s="5">
        <v>45866.0</v>
      </c>
      <c r="B501" s="6" t="s">
        <v>27</v>
      </c>
      <c r="C501" s="6" t="s">
        <v>28</v>
      </c>
      <c r="D501" s="17">
        <f>159+55+45+69</f>
        <v>328</v>
      </c>
      <c r="E501" s="6" t="s">
        <v>55</v>
      </c>
      <c r="F501" s="6" t="s">
        <v>334</v>
      </c>
      <c r="G501" s="6" t="s">
        <v>36</v>
      </c>
      <c r="H501" s="6" t="s">
        <v>448</v>
      </c>
      <c r="I501" s="10" t="str">
        <f t="shared" si="1"/>
        <v>_2025_</v>
      </c>
      <c r="J501" s="10" t="str">
        <f t="shared" si="2"/>
        <v>_7_</v>
      </c>
    </row>
    <row r="502" hidden="1">
      <c r="A502" s="5">
        <v>45867.0</v>
      </c>
      <c r="B502" s="6" t="s">
        <v>20</v>
      </c>
      <c r="C502" s="6" t="s">
        <v>25</v>
      </c>
      <c r="D502" s="7">
        <v>177.0</v>
      </c>
      <c r="E502" s="6" t="s">
        <v>17</v>
      </c>
      <c r="F502" s="6" t="s">
        <v>334</v>
      </c>
      <c r="G502" s="6" t="s">
        <v>30</v>
      </c>
      <c r="H502" s="11"/>
      <c r="I502" s="10" t="str">
        <f t="shared" si="1"/>
        <v>_2025_</v>
      </c>
      <c r="J502" s="10" t="str">
        <f t="shared" si="2"/>
        <v>_7_</v>
      </c>
    </row>
    <row r="503" hidden="1">
      <c r="A503" s="5">
        <v>45868.0</v>
      </c>
      <c r="B503" s="6" t="s">
        <v>20</v>
      </c>
      <c r="C503" s="6" t="s">
        <v>31</v>
      </c>
      <c r="D503" s="7">
        <v>70.0</v>
      </c>
      <c r="E503" s="6" t="s">
        <v>12</v>
      </c>
      <c r="F503" s="11"/>
      <c r="G503" s="11"/>
      <c r="H503" s="6" t="s">
        <v>449</v>
      </c>
      <c r="I503" s="10" t="str">
        <f t="shared" si="1"/>
        <v>_2025_</v>
      </c>
      <c r="J503" s="10" t="str">
        <f t="shared" si="2"/>
        <v>_7_</v>
      </c>
    </row>
    <row r="504" hidden="1">
      <c r="A504" s="5">
        <v>45866.0</v>
      </c>
      <c r="B504" s="6" t="s">
        <v>20</v>
      </c>
      <c r="C504" s="6" t="s">
        <v>31</v>
      </c>
      <c r="D504" s="7">
        <v>75.0</v>
      </c>
      <c r="E504" s="6" t="s">
        <v>12</v>
      </c>
      <c r="F504" s="11"/>
      <c r="G504" s="6" t="s">
        <v>47</v>
      </c>
      <c r="H504" s="6" t="s">
        <v>450</v>
      </c>
      <c r="I504" s="10" t="str">
        <f t="shared" si="1"/>
        <v>_2025_</v>
      </c>
      <c r="J504" s="10" t="str">
        <f t="shared" si="2"/>
        <v>_7_</v>
      </c>
    </row>
    <row r="505" hidden="1">
      <c r="A505" s="5">
        <v>45866.0</v>
      </c>
      <c r="B505" s="6" t="s">
        <v>27</v>
      </c>
      <c r="C505" s="6" t="s">
        <v>28</v>
      </c>
      <c r="D505" s="7">
        <v>25.0</v>
      </c>
      <c r="E505" s="6" t="s">
        <v>12</v>
      </c>
      <c r="F505" s="11"/>
      <c r="G505" s="6" t="s">
        <v>47</v>
      </c>
      <c r="H505" s="6" t="s">
        <v>451</v>
      </c>
      <c r="I505" s="10" t="str">
        <f t="shared" si="1"/>
        <v>_2025_</v>
      </c>
      <c r="J505" s="10" t="str">
        <f t="shared" si="2"/>
        <v>_7_</v>
      </c>
    </row>
    <row r="506" hidden="1">
      <c r="A506" s="5">
        <v>45868.0</v>
      </c>
      <c r="B506" s="6" t="s">
        <v>20</v>
      </c>
      <c r="C506" s="6" t="s">
        <v>25</v>
      </c>
      <c r="D506" s="7">
        <v>159.0</v>
      </c>
      <c r="E506" s="6" t="s">
        <v>17</v>
      </c>
      <c r="F506" s="6" t="s">
        <v>334</v>
      </c>
      <c r="G506" s="6" t="s">
        <v>30</v>
      </c>
      <c r="H506" s="11"/>
      <c r="I506" s="10" t="str">
        <f t="shared" si="1"/>
        <v>_2025_</v>
      </c>
      <c r="J506" s="10" t="str">
        <f t="shared" si="2"/>
        <v>_7_</v>
      </c>
    </row>
    <row r="507" hidden="1">
      <c r="A507" s="5">
        <v>45868.0</v>
      </c>
      <c r="B507" s="6" t="s">
        <v>20</v>
      </c>
      <c r="C507" s="6" t="s">
        <v>31</v>
      </c>
      <c r="D507" s="7">
        <v>115.0</v>
      </c>
      <c r="E507" s="6" t="s">
        <v>12</v>
      </c>
      <c r="F507" s="11"/>
      <c r="G507" s="6" t="s">
        <v>47</v>
      </c>
      <c r="H507" s="11"/>
      <c r="I507" s="10" t="str">
        <f t="shared" si="1"/>
        <v>_2025_</v>
      </c>
      <c r="J507" s="10" t="str">
        <f t="shared" si="2"/>
        <v>_7_</v>
      </c>
    </row>
    <row r="508" hidden="1">
      <c r="A508" s="5">
        <v>45868.0</v>
      </c>
      <c r="B508" s="6" t="s">
        <v>20</v>
      </c>
      <c r="C508" s="6" t="s">
        <v>32</v>
      </c>
      <c r="D508" s="7">
        <v>57.0</v>
      </c>
      <c r="E508" s="6" t="s">
        <v>12</v>
      </c>
      <c r="F508" s="6"/>
      <c r="G508" s="6" t="s">
        <v>47</v>
      </c>
      <c r="H508" s="11"/>
      <c r="I508" s="10" t="str">
        <f t="shared" si="1"/>
        <v>_2025_</v>
      </c>
      <c r="J508" s="10" t="str">
        <f t="shared" si="2"/>
        <v>_7_</v>
      </c>
    </row>
    <row r="509" hidden="1">
      <c r="A509" s="5">
        <v>45869.0</v>
      </c>
      <c r="B509" s="6" t="s">
        <v>23</v>
      </c>
      <c r="C509" s="6" t="s">
        <v>21</v>
      </c>
      <c r="D509" s="7">
        <v>1500.0</v>
      </c>
      <c r="E509" s="6" t="s">
        <v>12</v>
      </c>
      <c r="F509" s="11"/>
      <c r="G509" s="11"/>
      <c r="H509" s="6" t="s">
        <v>258</v>
      </c>
      <c r="I509" s="10" t="str">
        <f t="shared" si="1"/>
        <v>_2025_</v>
      </c>
      <c r="J509" s="10" t="str">
        <f t="shared" si="2"/>
        <v>_7_</v>
      </c>
    </row>
    <row r="510" hidden="1">
      <c r="A510" s="5">
        <v>45869.0</v>
      </c>
      <c r="B510" s="6" t="s">
        <v>20</v>
      </c>
      <c r="C510" s="6" t="s">
        <v>25</v>
      </c>
      <c r="D510" s="7">
        <v>49.0</v>
      </c>
      <c r="E510" s="6" t="s">
        <v>12</v>
      </c>
      <c r="F510" s="11"/>
      <c r="G510" s="6" t="s">
        <v>47</v>
      </c>
      <c r="H510" s="6" t="s">
        <v>452</v>
      </c>
      <c r="I510" s="10" t="str">
        <f t="shared" si="1"/>
        <v>_2025_</v>
      </c>
      <c r="J510" s="10" t="str">
        <f t="shared" si="2"/>
        <v>_7_</v>
      </c>
    </row>
    <row r="511" hidden="1">
      <c r="A511" s="5">
        <v>45870.0</v>
      </c>
      <c r="B511" s="6" t="s">
        <v>42</v>
      </c>
      <c r="C511" s="6" t="s">
        <v>43</v>
      </c>
      <c r="D511" s="7">
        <v>7500.0</v>
      </c>
      <c r="E511" s="6" t="s">
        <v>17</v>
      </c>
      <c r="F511" s="6" t="s">
        <v>18</v>
      </c>
      <c r="G511" s="6"/>
      <c r="H511" s="6" t="s">
        <v>453</v>
      </c>
      <c r="I511" s="10" t="str">
        <f t="shared" si="1"/>
        <v>_2025_</v>
      </c>
      <c r="J511" s="10" t="str">
        <f t="shared" si="2"/>
        <v>_8_</v>
      </c>
    </row>
    <row r="512" hidden="1">
      <c r="A512" s="5">
        <v>45871.0</v>
      </c>
      <c r="B512" s="6" t="s">
        <v>159</v>
      </c>
      <c r="C512" s="6" t="s">
        <v>20</v>
      </c>
      <c r="D512" s="7">
        <v>100.0</v>
      </c>
      <c r="E512" s="6" t="s">
        <v>55</v>
      </c>
      <c r="F512" s="6" t="s">
        <v>18</v>
      </c>
      <c r="G512" s="6" t="s">
        <v>33</v>
      </c>
      <c r="H512" s="6" t="s">
        <v>454</v>
      </c>
      <c r="I512" s="10" t="str">
        <f t="shared" si="1"/>
        <v>_2025_</v>
      </c>
      <c r="J512" s="10" t="str">
        <f t="shared" si="2"/>
        <v>_8_</v>
      </c>
    </row>
    <row r="513" hidden="1">
      <c r="A513" s="5">
        <v>45871.0</v>
      </c>
      <c r="B513" s="6" t="s">
        <v>159</v>
      </c>
      <c r="C513" s="6" t="s">
        <v>20</v>
      </c>
      <c r="D513" s="7">
        <v>178.0</v>
      </c>
      <c r="E513" s="6" t="s">
        <v>55</v>
      </c>
      <c r="F513" s="6" t="s">
        <v>18</v>
      </c>
      <c r="G513" s="6" t="s">
        <v>30</v>
      </c>
      <c r="H513" s="11"/>
      <c r="I513" s="10" t="str">
        <f t="shared" si="1"/>
        <v>_2025_</v>
      </c>
      <c r="J513" s="10" t="str">
        <f t="shared" si="2"/>
        <v>_8_</v>
      </c>
    </row>
    <row r="514" hidden="1">
      <c r="A514" s="5">
        <v>45871.0</v>
      </c>
      <c r="B514" s="6" t="s">
        <v>159</v>
      </c>
      <c r="C514" s="6" t="s">
        <v>20</v>
      </c>
      <c r="D514" s="7">
        <v>80.0</v>
      </c>
      <c r="E514" s="6" t="s">
        <v>12</v>
      </c>
      <c r="F514" s="11"/>
      <c r="G514" s="6" t="s">
        <v>47</v>
      </c>
      <c r="H514" s="11"/>
      <c r="I514" s="10" t="str">
        <f t="shared" si="1"/>
        <v>_2025_</v>
      </c>
      <c r="J514" s="10" t="str">
        <f t="shared" si="2"/>
        <v>_8_</v>
      </c>
    </row>
    <row r="515" hidden="1">
      <c r="A515" s="5">
        <v>45871.0</v>
      </c>
      <c r="B515" s="6" t="s">
        <v>159</v>
      </c>
      <c r="C515" s="6" t="s">
        <v>249</v>
      </c>
      <c r="D515" s="7">
        <v>80.0</v>
      </c>
      <c r="E515" s="6" t="s">
        <v>150</v>
      </c>
      <c r="F515" s="11"/>
      <c r="G515" s="11"/>
      <c r="H515" s="6" t="s">
        <v>455</v>
      </c>
      <c r="I515" s="10" t="str">
        <f t="shared" si="1"/>
        <v>_2025_</v>
      </c>
      <c r="J515" s="10" t="str">
        <f t="shared" si="2"/>
        <v>_8_</v>
      </c>
    </row>
    <row r="516" hidden="1">
      <c r="A516" s="5">
        <v>45872.0</v>
      </c>
      <c r="B516" s="6" t="s">
        <v>159</v>
      </c>
      <c r="C516" s="6" t="s">
        <v>20</v>
      </c>
      <c r="D516" s="7">
        <v>60.0</v>
      </c>
      <c r="E516" s="6" t="s">
        <v>12</v>
      </c>
      <c r="F516" s="11"/>
      <c r="G516" s="6" t="s">
        <v>82</v>
      </c>
      <c r="H516" s="11"/>
      <c r="I516" s="10" t="str">
        <f t="shared" si="1"/>
        <v>_2025_</v>
      </c>
      <c r="J516" s="10" t="str">
        <f t="shared" si="2"/>
        <v>_8_</v>
      </c>
    </row>
    <row r="517" hidden="1">
      <c r="A517" s="5">
        <v>45872.0</v>
      </c>
      <c r="B517" s="6" t="s">
        <v>159</v>
      </c>
      <c r="C517" s="6" t="s">
        <v>249</v>
      </c>
      <c r="D517" s="7">
        <v>40.0</v>
      </c>
      <c r="E517" s="6" t="s">
        <v>150</v>
      </c>
      <c r="F517" s="11"/>
      <c r="G517" s="11"/>
      <c r="H517" s="6" t="s">
        <v>456</v>
      </c>
      <c r="I517" s="10" t="str">
        <f t="shared" si="1"/>
        <v>_2025_</v>
      </c>
      <c r="J517" s="10" t="str">
        <f t="shared" si="2"/>
        <v>_8_</v>
      </c>
    </row>
    <row r="518" hidden="1">
      <c r="A518" s="5">
        <v>45872.0</v>
      </c>
      <c r="B518" s="6" t="s">
        <v>159</v>
      </c>
      <c r="C518" s="6" t="s">
        <v>20</v>
      </c>
      <c r="D518" s="7">
        <v>120.0</v>
      </c>
      <c r="E518" s="6" t="s">
        <v>12</v>
      </c>
      <c r="F518" s="11"/>
      <c r="G518" s="11"/>
      <c r="H518" s="6" t="s">
        <v>457</v>
      </c>
      <c r="I518" s="10" t="str">
        <f t="shared" si="1"/>
        <v>_2025_</v>
      </c>
      <c r="J518" s="10" t="str">
        <f t="shared" si="2"/>
        <v>_8_</v>
      </c>
    </row>
    <row r="519" hidden="1">
      <c r="A519" s="5">
        <v>45872.0</v>
      </c>
      <c r="B519" s="6" t="s">
        <v>20</v>
      </c>
      <c r="C519" s="6" t="s">
        <v>25</v>
      </c>
      <c r="D519" s="7">
        <v>150.0</v>
      </c>
      <c r="E519" s="6" t="s">
        <v>12</v>
      </c>
      <c r="F519" s="11"/>
      <c r="G519" s="11"/>
      <c r="H519" s="6" t="s">
        <v>458</v>
      </c>
      <c r="I519" s="10" t="str">
        <f t="shared" si="1"/>
        <v>_2025_</v>
      </c>
      <c r="J519" s="10" t="str">
        <f t="shared" si="2"/>
        <v>_8_</v>
      </c>
    </row>
    <row r="520" hidden="1">
      <c r="A520" s="5">
        <v>45872.0</v>
      </c>
      <c r="B520" s="6" t="s">
        <v>27</v>
      </c>
      <c r="C520" s="6" t="s">
        <v>154</v>
      </c>
      <c r="D520" s="7">
        <v>149.5</v>
      </c>
      <c r="E520" s="6" t="s">
        <v>12</v>
      </c>
      <c r="F520" s="11"/>
      <c r="G520" s="11"/>
      <c r="H520" s="6" t="s">
        <v>459</v>
      </c>
      <c r="I520" s="10" t="str">
        <f t="shared" si="1"/>
        <v>_2025_</v>
      </c>
      <c r="J520" s="10" t="str">
        <f t="shared" si="2"/>
        <v>_8_</v>
      </c>
    </row>
    <row r="521" hidden="1">
      <c r="A521" s="5">
        <v>45873.0</v>
      </c>
      <c r="B521" s="6" t="s">
        <v>20</v>
      </c>
      <c r="C521" s="6" t="s">
        <v>25</v>
      </c>
      <c r="D521" s="7">
        <v>99.0</v>
      </c>
      <c r="E521" s="6" t="s">
        <v>55</v>
      </c>
      <c r="F521" s="6" t="s">
        <v>18</v>
      </c>
      <c r="G521" s="6" t="s">
        <v>30</v>
      </c>
      <c r="H521" s="11"/>
      <c r="I521" s="10" t="str">
        <f t="shared" si="1"/>
        <v>_2025_</v>
      </c>
      <c r="J521" s="10" t="str">
        <f t="shared" si="2"/>
        <v>_8_</v>
      </c>
    </row>
    <row r="522" hidden="1">
      <c r="A522" s="5">
        <v>45870.0</v>
      </c>
      <c r="B522" s="6" t="s">
        <v>20</v>
      </c>
      <c r="C522" s="6" t="s">
        <v>25</v>
      </c>
      <c r="D522" s="7">
        <v>80.0</v>
      </c>
      <c r="E522" s="6" t="s">
        <v>12</v>
      </c>
      <c r="F522" s="11"/>
      <c r="G522" s="11"/>
      <c r="H522" s="6" t="s">
        <v>460</v>
      </c>
      <c r="I522" s="10" t="str">
        <f t="shared" si="1"/>
        <v>_2025_</v>
      </c>
      <c r="J522" s="10" t="str">
        <f t="shared" si="2"/>
        <v>_8_</v>
      </c>
    </row>
    <row r="523" hidden="1">
      <c r="A523" s="5">
        <v>45874.0</v>
      </c>
      <c r="B523" s="6" t="s">
        <v>27</v>
      </c>
      <c r="C523" s="6" t="s">
        <v>116</v>
      </c>
      <c r="D523" s="7">
        <f>232+237+220</f>
        <v>689</v>
      </c>
      <c r="E523" s="6" t="s">
        <v>17</v>
      </c>
      <c r="F523" s="6" t="s">
        <v>18</v>
      </c>
      <c r="G523" s="11"/>
      <c r="H523" s="6" t="s">
        <v>461</v>
      </c>
      <c r="I523" s="10" t="str">
        <f t="shared" si="1"/>
        <v>_2025_</v>
      </c>
      <c r="J523" s="10" t="str">
        <f t="shared" si="2"/>
        <v>_8_</v>
      </c>
    </row>
    <row r="524" hidden="1">
      <c r="A524" s="5">
        <v>45874.0</v>
      </c>
      <c r="B524" s="6" t="s">
        <v>15</v>
      </c>
      <c r="C524" s="6" t="s">
        <v>144</v>
      </c>
      <c r="D524" s="7">
        <v>85.0</v>
      </c>
      <c r="E524" s="6" t="s">
        <v>17</v>
      </c>
      <c r="F524" s="6" t="s">
        <v>18</v>
      </c>
      <c r="G524" s="11"/>
      <c r="H524" s="6" t="s">
        <v>462</v>
      </c>
      <c r="I524" s="10" t="str">
        <f t="shared" si="1"/>
        <v>_2025_</v>
      </c>
      <c r="J524" s="10" t="str">
        <f t="shared" si="2"/>
        <v>_8_</v>
      </c>
    </row>
    <row r="525" hidden="1">
      <c r="A525" s="5">
        <v>45874.0</v>
      </c>
      <c r="B525" s="6" t="s">
        <v>20</v>
      </c>
      <c r="C525" s="6" t="s">
        <v>138</v>
      </c>
      <c r="D525" s="7">
        <v>307.0</v>
      </c>
      <c r="E525" s="6" t="s">
        <v>17</v>
      </c>
      <c r="F525" s="6" t="s">
        <v>18</v>
      </c>
      <c r="G525" s="11"/>
      <c r="H525" s="6" t="s">
        <v>463</v>
      </c>
      <c r="I525" s="10" t="str">
        <f t="shared" si="1"/>
        <v>_2025_</v>
      </c>
      <c r="J525" s="10" t="str">
        <f t="shared" si="2"/>
        <v>_8_</v>
      </c>
    </row>
    <row r="526" hidden="1">
      <c r="A526" s="5">
        <v>45874.0</v>
      </c>
      <c r="B526" s="6" t="s">
        <v>27</v>
      </c>
      <c r="C526" s="6" t="s">
        <v>28</v>
      </c>
      <c r="D526" s="7">
        <v>135.0</v>
      </c>
      <c r="E526" s="6" t="s">
        <v>17</v>
      </c>
      <c r="F526" s="6" t="s">
        <v>18</v>
      </c>
      <c r="G526" s="11"/>
      <c r="H526" s="6" t="s">
        <v>464</v>
      </c>
      <c r="I526" s="10" t="str">
        <f t="shared" si="1"/>
        <v>_2025_</v>
      </c>
      <c r="J526" s="10" t="str">
        <f t="shared" si="2"/>
        <v>_8_</v>
      </c>
    </row>
    <row r="527" hidden="1">
      <c r="A527" s="5">
        <v>45873.0</v>
      </c>
      <c r="B527" s="6" t="s">
        <v>20</v>
      </c>
      <c r="C527" s="6" t="s">
        <v>138</v>
      </c>
      <c r="D527" s="7">
        <v>91.99</v>
      </c>
      <c r="E527" s="6" t="s">
        <v>17</v>
      </c>
      <c r="F527" s="6" t="s">
        <v>18</v>
      </c>
      <c r="G527" s="11"/>
      <c r="H527" s="6" t="s">
        <v>465</v>
      </c>
      <c r="I527" s="10" t="str">
        <f t="shared" si="1"/>
        <v>_2025_</v>
      </c>
      <c r="J527" s="10" t="str">
        <f t="shared" si="2"/>
        <v>_8_</v>
      </c>
    </row>
    <row r="528" hidden="1">
      <c r="A528" s="5">
        <v>45874.0</v>
      </c>
      <c r="B528" s="6" t="s">
        <v>20</v>
      </c>
      <c r="C528" s="6" t="s">
        <v>25</v>
      </c>
      <c r="D528" s="7">
        <v>90.0</v>
      </c>
      <c r="E528" s="6" t="s">
        <v>12</v>
      </c>
      <c r="F528" s="11"/>
      <c r="G528" s="6" t="s">
        <v>82</v>
      </c>
      <c r="H528" s="11"/>
      <c r="I528" s="10" t="str">
        <f t="shared" si="1"/>
        <v>_2025_</v>
      </c>
      <c r="J528" s="10" t="str">
        <f t="shared" si="2"/>
        <v>_8_</v>
      </c>
    </row>
    <row r="529" hidden="1">
      <c r="A529" s="5">
        <v>45874.0</v>
      </c>
      <c r="B529" s="6" t="s">
        <v>20</v>
      </c>
      <c r="C529" s="6" t="s">
        <v>25</v>
      </c>
      <c r="D529" s="7">
        <v>280.0</v>
      </c>
      <c r="E529" s="6" t="s">
        <v>12</v>
      </c>
      <c r="F529" s="11"/>
      <c r="G529" s="11"/>
      <c r="H529" s="6" t="s">
        <v>466</v>
      </c>
      <c r="I529" s="10" t="str">
        <f t="shared" si="1"/>
        <v>_2025_</v>
      </c>
      <c r="J529" s="10" t="str">
        <f t="shared" si="2"/>
        <v>_8_</v>
      </c>
    </row>
    <row r="530" hidden="1">
      <c r="A530" s="5">
        <v>45875.0</v>
      </c>
      <c r="B530" s="6" t="s">
        <v>20</v>
      </c>
      <c r="C530" s="6" t="s">
        <v>31</v>
      </c>
      <c r="D530" s="7">
        <v>50.0</v>
      </c>
      <c r="E530" s="6" t="s">
        <v>12</v>
      </c>
      <c r="F530" s="11"/>
      <c r="G530" s="11"/>
      <c r="H530" s="6" t="s">
        <v>467</v>
      </c>
      <c r="I530" s="10" t="str">
        <f t="shared" si="1"/>
        <v>_2025_</v>
      </c>
      <c r="J530" s="10" t="str">
        <f t="shared" si="2"/>
        <v>_8_</v>
      </c>
    </row>
    <row r="531" hidden="1">
      <c r="A531" s="5">
        <v>45875.0</v>
      </c>
      <c r="B531" s="6" t="s">
        <v>20</v>
      </c>
      <c r="C531" s="6" t="s">
        <v>25</v>
      </c>
      <c r="D531" s="7">
        <v>103.0</v>
      </c>
      <c r="E531" s="6" t="s">
        <v>12</v>
      </c>
      <c r="F531" s="11"/>
      <c r="G531" s="6" t="s">
        <v>47</v>
      </c>
      <c r="H531" s="6" t="s">
        <v>468</v>
      </c>
      <c r="I531" s="10" t="str">
        <f t="shared" si="1"/>
        <v>_2025_</v>
      </c>
      <c r="J531" s="10" t="str">
        <f t="shared" si="2"/>
        <v>_8_</v>
      </c>
    </row>
    <row r="532" hidden="1">
      <c r="A532" s="5">
        <v>45875.0</v>
      </c>
      <c r="B532" s="6" t="s">
        <v>20</v>
      </c>
      <c r="C532" s="6" t="s">
        <v>31</v>
      </c>
      <c r="D532" s="7">
        <v>84.5</v>
      </c>
      <c r="E532" s="6" t="s">
        <v>17</v>
      </c>
      <c r="F532" s="6" t="s">
        <v>18</v>
      </c>
      <c r="G532" s="11"/>
      <c r="H532" s="6" t="s">
        <v>469</v>
      </c>
      <c r="I532" s="10" t="str">
        <f t="shared" si="1"/>
        <v>_2025_</v>
      </c>
      <c r="J532" s="10" t="str">
        <f t="shared" si="2"/>
        <v>_8_</v>
      </c>
    </row>
    <row r="533" hidden="1">
      <c r="A533" s="5">
        <v>45875.0</v>
      </c>
      <c r="B533" s="6" t="s">
        <v>20</v>
      </c>
      <c r="C533" s="6" t="s">
        <v>35</v>
      </c>
      <c r="D533" s="7">
        <v>234.0</v>
      </c>
      <c r="E533" s="6" t="s">
        <v>17</v>
      </c>
      <c r="F533" s="6" t="s">
        <v>18</v>
      </c>
      <c r="G533" s="11"/>
      <c r="H533" s="6" t="s">
        <v>470</v>
      </c>
      <c r="I533" s="10" t="str">
        <f t="shared" si="1"/>
        <v>_2025_</v>
      </c>
      <c r="J533" s="10" t="str">
        <f t="shared" si="2"/>
        <v>_8_</v>
      </c>
    </row>
    <row r="534" hidden="1">
      <c r="A534" s="5">
        <v>45875.0</v>
      </c>
      <c r="B534" s="6" t="s">
        <v>42</v>
      </c>
      <c r="C534" s="6" t="s">
        <v>46</v>
      </c>
      <c r="D534" s="7">
        <v>120.0</v>
      </c>
      <c r="E534" s="6" t="s">
        <v>12</v>
      </c>
      <c r="F534" s="11"/>
      <c r="G534" s="11"/>
      <c r="H534" s="11"/>
      <c r="I534" s="10" t="str">
        <f t="shared" si="1"/>
        <v>_2025_</v>
      </c>
      <c r="J534" s="10" t="str">
        <f t="shared" si="2"/>
        <v>_8_</v>
      </c>
    </row>
    <row r="535" hidden="1">
      <c r="A535" s="5">
        <v>45876.0</v>
      </c>
      <c r="B535" s="6" t="s">
        <v>20</v>
      </c>
      <c r="C535" s="6" t="s">
        <v>25</v>
      </c>
      <c r="D535" s="7">
        <v>208.1</v>
      </c>
      <c r="E535" s="6" t="s">
        <v>55</v>
      </c>
      <c r="F535" s="6" t="s">
        <v>18</v>
      </c>
      <c r="G535" s="6" t="s">
        <v>259</v>
      </c>
      <c r="H535" s="11"/>
      <c r="I535" s="10" t="str">
        <f t="shared" si="1"/>
        <v>_2025_</v>
      </c>
      <c r="J535" s="10" t="str">
        <f t="shared" si="2"/>
        <v>_8_</v>
      </c>
    </row>
    <row r="536" hidden="1">
      <c r="A536" s="5">
        <v>45876.0</v>
      </c>
      <c r="B536" s="6" t="s">
        <v>20</v>
      </c>
      <c r="C536" s="6" t="s">
        <v>25</v>
      </c>
      <c r="D536" s="7">
        <v>60.0</v>
      </c>
      <c r="E536" s="6" t="s">
        <v>150</v>
      </c>
      <c r="F536" s="11"/>
      <c r="G536" s="6" t="s">
        <v>177</v>
      </c>
      <c r="H536" s="11"/>
      <c r="I536" s="10" t="str">
        <f t="shared" si="1"/>
        <v>_2025_</v>
      </c>
      <c r="J536" s="10" t="str">
        <f t="shared" si="2"/>
        <v>_8_</v>
      </c>
    </row>
    <row r="537" hidden="1">
      <c r="A537" s="5">
        <v>45877.0</v>
      </c>
      <c r="B537" s="6" t="s">
        <v>21</v>
      </c>
      <c r="C537" s="6" t="s">
        <v>471</v>
      </c>
      <c r="D537" s="7">
        <v>1889.0</v>
      </c>
      <c r="E537" s="6" t="s">
        <v>12</v>
      </c>
      <c r="F537" s="11"/>
      <c r="G537" s="11"/>
      <c r="H537" s="6" t="s">
        <v>472</v>
      </c>
      <c r="I537" s="10" t="str">
        <f t="shared" si="1"/>
        <v>_2025_</v>
      </c>
      <c r="J537" s="10" t="str">
        <f t="shared" si="2"/>
        <v>_8_</v>
      </c>
    </row>
    <row r="538" hidden="1">
      <c r="A538" s="5">
        <v>45877.0</v>
      </c>
      <c r="B538" s="6" t="s">
        <v>42</v>
      </c>
      <c r="C538" s="6" t="s">
        <v>43</v>
      </c>
      <c r="D538" s="7">
        <v>19.0</v>
      </c>
      <c r="E538" s="6" t="s">
        <v>55</v>
      </c>
      <c r="F538" s="6" t="s">
        <v>18</v>
      </c>
      <c r="G538" s="11"/>
      <c r="H538" s="6" t="s">
        <v>44</v>
      </c>
      <c r="I538" s="10" t="str">
        <f t="shared" si="1"/>
        <v>_2025_</v>
      </c>
      <c r="J538" s="10" t="str">
        <f t="shared" si="2"/>
        <v>_8_</v>
      </c>
    </row>
    <row r="539" hidden="1">
      <c r="A539" s="5">
        <v>45872.0</v>
      </c>
      <c r="B539" s="6" t="s">
        <v>15</v>
      </c>
      <c r="C539" s="6" t="s">
        <v>144</v>
      </c>
      <c r="D539" s="7">
        <v>1456.0</v>
      </c>
      <c r="E539" s="6" t="s">
        <v>51</v>
      </c>
      <c r="F539" s="6" t="s">
        <v>18</v>
      </c>
      <c r="G539" s="6" t="s">
        <v>281</v>
      </c>
      <c r="H539" s="6" t="s">
        <v>473</v>
      </c>
      <c r="I539" s="10" t="str">
        <f t="shared" si="1"/>
        <v>_2025_</v>
      </c>
      <c r="J539" s="10" t="str">
        <f t="shared" si="2"/>
        <v>_8_</v>
      </c>
    </row>
    <row r="540" hidden="1">
      <c r="A540" s="5">
        <v>45877.0</v>
      </c>
      <c r="B540" s="6" t="s">
        <v>20</v>
      </c>
      <c r="C540" s="6" t="s">
        <v>25</v>
      </c>
      <c r="D540" s="7">
        <v>50.0</v>
      </c>
      <c r="E540" s="6" t="s">
        <v>12</v>
      </c>
      <c r="F540" s="11"/>
      <c r="G540" s="6" t="s">
        <v>177</v>
      </c>
      <c r="H540" s="11"/>
      <c r="I540" s="10" t="str">
        <f t="shared" si="1"/>
        <v>_2025_</v>
      </c>
      <c r="J540" s="10" t="str">
        <f t="shared" si="2"/>
        <v>_8_</v>
      </c>
    </row>
    <row r="541" hidden="1">
      <c r="A541" s="5">
        <v>45878.0</v>
      </c>
      <c r="B541" s="6" t="s">
        <v>20</v>
      </c>
      <c r="C541" s="6" t="s">
        <v>305</v>
      </c>
      <c r="D541" s="7">
        <v>307.09</v>
      </c>
      <c r="E541" s="6" t="s">
        <v>12</v>
      </c>
      <c r="F541" s="11"/>
      <c r="G541" s="6" t="s">
        <v>306</v>
      </c>
      <c r="H541" s="11"/>
      <c r="I541" s="10" t="str">
        <f t="shared" si="1"/>
        <v>_2025_</v>
      </c>
      <c r="J541" s="10" t="str">
        <f t="shared" si="2"/>
        <v>_8_</v>
      </c>
    </row>
    <row r="542" hidden="1">
      <c r="A542" s="5">
        <v>45879.0</v>
      </c>
      <c r="B542" s="6" t="s">
        <v>20</v>
      </c>
      <c r="C542" s="6" t="s">
        <v>25</v>
      </c>
      <c r="D542" s="7">
        <v>95.0</v>
      </c>
      <c r="E542" s="6" t="s">
        <v>12</v>
      </c>
      <c r="F542" s="11"/>
      <c r="G542" s="11"/>
      <c r="H542" s="6" t="s">
        <v>383</v>
      </c>
      <c r="I542" s="10" t="str">
        <f t="shared" si="1"/>
        <v>_2025_</v>
      </c>
      <c r="J542" s="10" t="str">
        <f t="shared" si="2"/>
        <v>_8_</v>
      </c>
    </row>
    <row r="543" hidden="1">
      <c r="A543" s="5">
        <v>45879.0</v>
      </c>
      <c r="B543" s="6" t="s">
        <v>20</v>
      </c>
      <c r="C543" s="6" t="s">
        <v>32</v>
      </c>
      <c r="D543" s="7">
        <v>34.0</v>
      </c>
      <c r="E543" s="6" t="s">
        <v>12</v>
      </c>
      <c r="F543" s="11"/>
      <c r="G543" s="11"/>
      <c r="H543" s="6" t="s">
        <v>381</v>
      </c>
      <c r="I543" s="10" t="str">
        <f t="shared" si="1"/>
        <v>_2025_</v>
      </c>
      <c r="J543" s="10" t="str">
        <f t="shared" si="2"/>
        <v>_8_</v>
      </c>
    </row>
    <row r="544" hidden="1">
      <c r="A544" s="5">
        <v>45879.0</v>
      </c>
      <c r="B544" s="6" t="s">
        <v>20</v>
      </c>
      <c r="C544" s="6" t="s">
        <v>31</v>
      </c>
      <c r="D544" s="7">
        <v>100.0</v>
      </c>
      <c r="E544" s="6" t="s">
        <v>12</v>
      </c>
      <c r="F544" s="11"/>
      <c r="G544" s="11"/>
      <c r="H544" s="6" t="s">
        <v>373</v>
      </c>
      <c r="I544" s="10" t="str">
        <f t="shared" si="1"/>
        <v>_2025_</v>
      </c>
      <c r="J544" s="10" t="str">
        <f t="shared" si="2"/>
        <v>_8_</v>
      </c>
    </row>
    <row r="545" hidden="1">
      <c r="A545" s="5">
        <v>45880.0</v>
      </c>
      <c r="B545" s="6" t="s">
        <v>20</v>
      </c>
      <c r="C545" s="6" t="s">
        <v>31</v>
      </c>
      <c r="D545" s="17">
        <f>103+109+100</f>
        <v>312</v>
      </c>
      <c r="E545" s="6" t="s">
        <v>12</v>
      </c>
      <c r="F545" s="11"/>
      <c r="G545" s="6" t="s">
        <v>47</v>
      </c>
      <c r="H545" s="11"/>
      <c r="I545" s="10" t="str">
        <f t="shared" si="1"/>
        <v>_2025_</v>
      </c>
      <c r="J545" s="10" t="str">
        <f t="shared" si="2"/>
        <v>_8_</v>
      </c>
    </row>
    <row r="546" hidden="1">
      <c r="A546" s="5">
        <v>45879.0</v>
      </c>
      <c r="B546" s="6" t="s">
        <v>15</v>
      </c>
      <c r="C546" s="6" t="s">
        <v>16</v>
      </c>
      <c r="D546" s="7">
        <v>1210.0</v>
      </c>
      <c r="E546" s="6" t="s">
        <v>51</v>
      </c>
      <c r="F546" s="6" t="s">
        <v>18</v>
      </c>
      <c r="G546" s="6" t="s">
        <v>19</v>
      </c>
      <c r="H546" s="6" t="s">
        <v>474</v>
      </c>
      <c r="I546" s="10" t="str">
        <f t="shared" si="1"/>
        <v>_2025_</v>
      </c>
      <c r="J546" s="10" t="str">
        <f t="shared" si="2"/>
        <v>_8_</v>
      </c>
    </row>
    <row r="547" hidden="1">
      <c r="A547" s="5">
        <v>45880.0</v>
      </c>
      <c r="B547" s="6" t="s">
        <v>20</v>
      </c>
      <c r="C547" s="6" t="s">
        <v>32</v>
      </c>
      <c r="D547" s="7">
        <f>50+75</f>
        <v>125</v>
      </c>
      <c r="E547" s="6" t="s">
        <v>150</v>
      </c>
      <c r="F547" s="11"/>
      <c r="G547" s="6" t="s">
        <v>33</v>
      </c>
      <c r="H547" s="6" t="s">
        <v>475</v>
      </c>
      <c r="I547" s="10" t="str">
        <f t="shared" si="1"/>
        <v>_2025_</v>
      </c>
      <c r="J547" s="10" t="str">
        <f t="shared" si="2"/>
        <v>_8_</v>
      </c>
    </row>
    <row r="548" hidden="1">
      <c r="A548" s="5">
        <v>45881.0</v>
      </c>
      <c r="B548" s="6" t="s">
        <v>20</v>
      </c>
      <c r="C548" s="6" t="s">
        <v>305</v>
      </c>
      <c r="D548" s="7">
        <v>300.0</v>
      </c>
      <c r="E548" s="6" t="s">
        <v>12</v>
      </c>
      <c r="F548" s="11"/>
      <c r="G548" s="11"/>
      <c r="H548" s="6" t="s">
        <v>476</v>
      </c>
      <c r="I548" s="10" t="str">
        <f t="shared" si="1"/>
        <v>_2025_</v>
      </c>
      <c r="J548" s="10" t="str">
        <f t="shared" si="2"/>
        <v>_8_</v>
      </c>
    </row>
    <row r="549" hidden="1">
      <c r="A549" s="5">
        <v>45881.0</v>
      </c>
      <c r="B549" s="6" t="s">
        <v>27</v>
      </c>
      <c r="C549" s="6" t="s">
        <v>21</v>
      </c>
      <c r="D549" s="7">
        <f>1600-1000</f>
        <v>600</v>
      </c>
      <c r="E549" s="6" t="s">
        <v>17</v>
      </c>
      <c r="F549" s="6" t="s">
        <v>18</v>
      </c>
      <c r="G549" s="6" t="s">
        <v>477</v>
      </c>
      <c r="H549" s="6" t="s">
        <v>478</v>
      </c>
      <c r="I549" s="10" t="str">
        <f t="shared" si="1"/>
        <v>_2025_</v>
      </c>
      <c r="J549" s="10" t="str">
        <f t="shared" si="2"/>
        <v>_8_</v>
      </c>
    </row>
    <row r="550" hidden="1">
      <c r="A550" s="5">
        <v>45881.0</v>
      </c>
      <c r="B550" s="6" t="s">
        <v>20</v>
      </c>
      <c r="C550" s="6" t="s">
        <v>31</v>
      </c>
      <c r="D550" s="7">
        <v>55.0</v>
      </c>
      <c r="E550" s="6" t="s">
        <v>12</v>
      </c>
      <c r="F550" s="11"/>
      <c r="G550" s="11"/>
      <c r="H550" s="6" t="s">
        <v>45</v>
      </c>
      <c r="I550" s="10" t="str">
        <f t="shared" si="1"/>
        <v>_2025_</v>
      </c>
      <c r="J550" s="10" t="str">
        <f t="shared" si="2"/>
        <v>_8_</v>
      </c>
    </row>
    <row r="551" hidden="1">
      <c r="A551" s="5">
        <v>45882.0</v>
      </c>
      <c r="B551" s="6" t="s">
        <v>15</v>
      </c>
      <c r="C551" s="6" t="s">
        <v>16</v>
      </c>
      <c r="D551" s="7">
        <v>500.0</v>
      </c>
      <c r="E551" s="6" t="s">
        <v>17</v>
      </c>
      <c r="F551" s="6" t="s">
        <v>18</v>
      </c>
      <c r="G551" s="6" t="s">
        <v>19</v>
      </c>
      <c r="H551" s="11"/>
      <c r="I551" s="10" t="str">
        <f t="shared" si="1"/>
        <v>_2025_</v>
      </c>
      <c r="J551" s="10" t="str">
        <f t="shared" si="2"/>
        <v>_8_</v>
      </c>
    </row>
    <row r="552" hidden="1">
      <c r="A552" s="5">
        <v>45882.0</v>
      </c>
      <c r="B552" s="6" t="s">
        <v>27</v>
      </c>
      <c r="C552" s="6" t="s">
        <v>21</v>
      </c>
      <c r="D552" s="7">
        <v>914.5</v>
      </c>
      <c r="E552" s="6" t="s">
        <v>55</v>
      </c>
      <c r="F552" s="6" t="s">
        <v>18</v>
      </c>
      <c r="G552" s="6" t="s">
        <v>36</v>
      </c>
      <c r="H552" s="6" t="s">
        <v>479</v>
      </c>
      <c r="I552" s="10" t="str">
        <f t="shared" si="1"/>
        <v>_2025_</v>
      </c>
      <c r="J552" s="10" t="str">
        <f t="shared" si="2"/>
        <v>_8_</v>
      </c>
    </row>
    <row r="553" hidden="1">
      <c r="A553" s="5">
        <v>45882.0</v>
      </c>
      <c r="B553" s="6" t="s">
        <v>42</v>
      </c>
      <c r="C553" s="6" t="s">
        <v>43</v>
      </c>
      <c r="D553" s="17">
        <f>359-65-65-65-64-64</f>
        <v>36</v>
      </c>
      <c r="E553" s="6" t="s">
        <v>55</v>
      </c>
      <c r="F553" s="6" t="s">
        <v>18</v>
      </c>
      <c r="G553" s="6" t="s">
        <v>195</v>
      </c>
      <c r="H553" s="6" t="s">
        <v>480</v>
      </c>
      <c r="I553" s="10" t="str">
        <f t="shared" si="1"/>
        <v>_2025_</v>
      </c>
      <c r="J553" s="10" t="str">
        <f t="shared" si="2"/>
        <v>_8_</v>
      </c>
    </row>
    <row r="554" hidden="1">
      <c r="A554" s="5">
        <v>45882.0</v>
      </c>
      <c r="B554" s="6" t="s">
        <v>58</v>
      </c>
      <c r="C554" s="6" t="s">
        <v>58</v>
      </c>
      <c r="D554" s="7">
        <v>1000.0</v>
      </c>
      <c r="E554" s="6" t="s">
        <v>17</v>
      </c>
      <c r="F554" s="6" t="s">
        <v>18</v>
      </c>
      <c r="G554" s="6" t="s">
        <v>477</v>
      </c>
      <c r="H554" s="11"/>
      <c r="I554" s="10" t="str">
        <f t="shared" si="1"/>
        <v>_2025_</v>
      </c>
      <c r="J554" s="10" t="str">
        <f t="shared" si="2"/>
        <v>_8_</v>
      </c>
    </row>
    <row r="555" hidden="1">
      <c r="A555" s="5">
        <v>45883.0</v>
      </c>
      <c r="B555" s="6" t="s">
        <v>20</v>
      </c>
      <c r="C555" s="6" t="s">
        <v>31</v>
      </c>
      <c r="D555" s="7">
        <f>75+74</f>
        <v>149</v>
      </c>
      <c r="E555" s="6" t="s">
        <v>55</v>
      </c>
      <c r="F555" s="6" t="s">
        <v>18</v>
      </c>
      <c r="G555" s="6" t="s">
        <v>33</v>
      </c>
      <c r="H555" s="6" t="s">
        <v>481</v>
      </c>
      <c r="I555" s="10" t="str">
        <f t="shared" si="1"/>
        <v>_2025_</v>
      </c>
      <c r="J555" s="10" t="str">
        <f t="shared" si="2"/>
        <v>_8_</v>
      </c>
    </row>
    <row r="556" hidden="1">
      <c r="A556" s="5">
        <v>45884.0</v>
      </c>
      <c r="B556" s="6" t="s">
        <v>20</v>
      </c>
      <c r="C556" s="6" t="s">
        <v>32</v>
      </c>
      <c r="D556" s="7">
        <v>50.0</v>
      </c>
      <c r="E556" s="6" t="s">
        <v>55</v>
      </c>
      <c r="F556" s="6" t="s">
        <v>18</v>
      </c>
      <c r="G556" s="6" t="s">
        <v>33</v>
      </c>
      <c r="H556" s="6" t="s">
        <v>482</v>
      </c>
      <c r="I556" s="10" t="str">
        <f t="shared" si="1"/>
        <v>_2025_</v>
      </c>
      <c r="J556" s="10" t="str">
        <f t="shared" si="2"/>
        <v>_8_</v>
      </c>
    </row>
    <row r="557" hidden="1">
      <c r="A557" s="5">
        <v>45884.0</v>
      </c>
      <c r="B557" s="6" t="s">
        <v>20</v>
      </c>
      <c r="C557" s="6" t="s">
        <v>25</v>
      </c>
      <c r="D557" s="7">
        <v>159.0</v>
      </c>
      <c r="E557" s="6" t="s">
        <v>17</v>
      </c>
      <c r="F557" s="6" t="s">
        <v>18</v>
      </c>
      <c r="G557" s="6" t="s">
        <v>30</v>
      </c>
      <c r="H557" s="11"/>
      <c r="I557" s="10" t="str">
        <f t="shared" si="1"/>
        <v>_2025_</v>
      </c>
      <c r="J557" s="10" t="str">
        <f t="shared" si="2"/>
        <v>_8_</v>
      </c>
    </row>
    <row r="558" hidden="1">
      <c r="A558" s="5">
        <v>45870.0</v>
      </c>
      <c r="B558" s="6" t="s">
        <v>23</v>
      </c>
      <c r="C558" s="6" t="s">
        <v>21</v>
      </c>
      <c r="D558" s="7">
        <v>1500.0</v>
      </c>
      <c r="E558" s="6" t="s">
        <v>12</v>
      </c>
      <c r="F558" s="11"/>
      <c r="G558" s="11"/>
      <c r="H558" s="6" t="s">
        <v>349</v>
      </c>
      <c r="I558" s="10" t="str">
        <f t="shared" si="1"/>
        <v>_2025_</v>
      </c>
      <c r="J558" s="10" t="str">
        <f t="shared" si="2"/>
        <v>_8_</v>
      </c>
    </row>
    <row r="559" hidden="1">
      <c r="A559" s="5">
        <v>45862.0</v>
      </c>
      <c r="B559" s="6" t="s">
        <v>23</v>
      </c>
      <c r="C559" s="6" t="s">
        <v>21</v>
      </c>
      <c r="D559" s="7">
        <v>500.0</v>
      </c>
      <c r="E559" s="6" t="s">
        <v>12</v>
      </c>
      <c r="F559" s="11"/>
      <c r="G559" s="11"/>
      <c r="H559" s="6" t="s">
        <v>218</v>
      </c>
      <c r="I559" s="10" t="str">
        <f t="shared" si="1"/>
        <v>_2025_</v>
      </c>
      <c r="J559" s="10" t="str">
        <f t="shared" si="2"/>
        <v>_7_</v>
      </c>
    </row>
    <row r="560" hidden="1">
      <c r="A560" s="5">
        <v>45885.0</v>
      </c>
      <c r="B560" s="6" t="s">
        <v>62</v>
      </c>
      <c r="C560" s="6" t="s">
        <v>63</v>
      </c>
      <c r="D560" s="7">
        <v>3041.48</v>
      </c>
      <c r="E560" s="6" t="s">
        <v>12</v>
      </c>
      <c r="F560" s="11"/>
      <c r="G560" s="11"/>
      <c r="H560" s="11"/>
      <c r="I560" s="10" t="str">
        <f t="shared" si="1"/>
        <v>_2025_</v>
      </c>
      <c r="J560" s="10" t="str">
        <f t="shared" si="2"/>
        <v>_8_</v>
      </c>
    </row>
    <row r="561" hidden="1">
      <c r="A561" s="5">
        <v>45885.0</v>
      </c>
      <c r="B561" s="6" t="s">
        <v>27</v>
      </c>
      <c r="C561" s="6" t="s">
        <v>116</v>
      </c>
      <c r="D561" s="7">
        <v>690.0</v>
      </c>
      <c r="E561" s="6" t="s">
        <v>17</v>
      </c>
      <c r="F561" s="6" t="s">
        <v>18</v>
      </c>
      <c r="G561" s="11"/>
      <c r="H561" s="6" t="s">
        <v>483</v>
      </c>
      <c r="I561" s="10" t="str">
        <f t="shared" si="1"/>
        <v>_2025_</v>
      </c>
      <c r="J561" s="10" t="str">
        <f t="shared" si="2"/>
        <v>_8_</v>
      </c>
    </row>
    <row r="562" hidden="1">
      <c r="A562" s="5">
        <v>45885.0</v>
      </c>
      <c r="B562" s="6" t="s">
        <v>20</v>
      </c>
      <c r="C562" s="6" t="s">
        <v>35</v>
      </c>
      <c r="D562" s="17">
        <f>40+40+45+108</f>
        <v>233</v>
      </c>
      <c r="E562" s="6" t="s">
        <v>12</v>
      </c>
      <c r="F562" s="11"/>
      <c r="G562" s="11"/>
      <c r="H562" s="6" t="s">
        <v>484</v>
      </c>
      <c r="I562" s="10" t="str">
        <f t="shared" si="1"/>
        <v>_2025_</v>
      </c>
      <c r="J562" s="10" t="str">
        <f t="shared" si="2"/>
        <v>_8_</v>
      </c>
    </row>
    <row r="563" hidden="1">
      <c r="A563" s="5">
        <v>45885.0</v>
      </c>
      <c r="B563" s="6" t="s">
        <v>20</v>
      </c>
      <c r="C563" s="6" t="s">
        <v>35</v>
      </c>
      <c r="D563" s="7">
        <f>358.25-118-52</f>
        <v>188.25</v>
      </c>
      <c r="E563" s="6" t="s">
        <v>17</v>
      </c>
      <c r="F563" s="6" t="s">
        <v>18</v>
      </c>
      <c r="G563" s="6" t="s">
        <v>36</v>
      </c>
      <c r="H563" s="6" t="s">
        <v>485</v>
      </c>
      <c r="I563" s="10" t="str">
        <f t="shared" si="1"/>
        <v>_2025_</v>
      </c>
      <c r="J563" s="10" t="str">
        <f t="shared" si="2"/>
        <v>_8_</v>
      </c>
    </row>
    <row r="564" hidden="1">
      <c r="A564" s="5">
        <v>45885.0</v>
      </c>
      <c r="B564" s="6" t="s">
        <v>20</v>
      </c>
      <c r="C564" s="6" t="s">
        <v>65</v>
      </c>
      <c r="D564" s="17">
        <f>59*2</f>
        <v>118</v>
      </c>
      <c r="E564" s="6" t="s">
        <v>17</v>
      </c>
      <c r="F564" s="6" t="s">
        <v>18</v>
      </c>
      <c r="G564" s="6" t="s">
        <v>36</v>
      </c>
      <c r="H564" s="6" t="s">
        <v>69</v>
      </c>
      <c r="I564" s="10" t="str">
        <f t="shared" si="1"/>
        <v>_2025_</v>
      </c>
      <c r="J564" s="10" t="str">
        <f t="shared" si="2"/>
        <v>_8_</v>
      </c>
    </row>
    <row r="565" hidden="1">
      <c r="A565" s="5">
        <v>45885.0</v>
      </c>
      <c r="B565" s="6" t="s">
        <v>20</v>
      </c>
      <c r="C565" s="6" t="s">
        <v>31</v>
      </c>
      <c r="D565" s="17">
        <f>19+19+14</f>
        <v>52</v>
      </c>
      <c r="E565" s="6" t="s">
        <v>17</v>
      </c>
      <c r="F565" s="6" t="s">
        <v>18</v>
      </c>
      <c r="G565" s="6" t="s">
        <v>36</v>
      </c>
      <c r="H565" s="6" t="s">
        <v>48</v>
      </c>
      <c r="I565" s="10" t="str">
        <f t="shared" si="1"/>
        <v>_2025_</v>
      </c>
      <c r="J565" s="10" t="str">
        <f t="shared" si="2"/>
        <v>_8_</v>
      </c>
    </row>
    <row r="566" hidden="1">
      <c r="A566" s="5">
        <v>45886.0</v>
      </c>
      <c r="B566" s="6" t="s">
        <v>20</v>
      </c>
      <c r="C566" s="6" t="s">
        <v>25</v>
      </c>
      <c r="D566" s="7">
        <v>60.0</v>
      </c>
      <c r="E566" s="6" t="s">
        <v>12</v>
      </c>
      <c r="F566" s="11"/>
      <c r="G566" s="11"/>
      <c r="H566" s="6" t="s">
        <v>119</v>
      </c>
      <c r="I566" s="10" t="str">
        <f t="shared" si="1"/>
        <v>_2025_</v>
      </c>
      <c r="J566" s="10" t="str">
        <f t="shared" si="2"/>
        <v>_8_</v>
      </c>
    </row>
    <row r="567" hidden="1">
      <c r="A567" s="5">
        <v>45886.0</v>
      </c>
      <c r="B567" s="6" t="s">
        <v>20</v>
      </c>
      <c r="C567" s="6" t="s">
        <v>32</v>
      </c>
      <c r="D567" s="7">
        <v>30.0</v>
      </c>
      <c r="E567" s="6" t="s">
        <v>12</v>
      </c>
      <c r="F567" s="11"/>
      <c r="G567" s="6" t="s">
        <v>327</v>
      </c>
      <c r="H567" s="6" t="s">
        <v>379</v>
      </c>
      <c r="I567" s="10" t="str">
        <f t="shared" si="1"/>
        <v>_2025_</v>
      </c>
      <c r="J567" s="10" t="str">
        <f t="shared" si="2"/>
        <v>_8_</v>
      </c>
    </row>
    <row r="568" hidden="1">
      <c r="A568" s="5">
        <v>45886.0</v>
      </c>
      <c r="B568" s="6" t="s">
        <v>20</v>
      </c>
      <c r="C568" s="6" t="s">
        <v>35</v>
      </c>
      <c r="D568" s="17">
        <f>169-30</f>
        <v>139</v>
      </c>
      <c r="E568" s="6" t="s">
        <v>55</v>
      </c>
      <c r="F568" s="6" t="s">
        <v>18</v>
      </c>
      <c r="G568" s="6" t="s">
        <v>36</v>
      </c>
      <c r="H568" s="6" t="s">
        <v>486</v>
      </c>
      <c r="I568" s="10" t="str">
        <f t="shared" si="1"/>
        <v>_2025_</v>
      </c>
      <c r="J568" s="10" t="str">
        <f t="shared" si="2"/>
        <v>_8_</v>
      </c>
    </row>
    <row r="569" hidden="1">
      <c r="A569" s="5">
        <v>45886.0</v>
      </c>
      <c r="B569" s="6" t="s">
        <v>20</v>
      </c>
      <c r="C569" s="6" t="s">
        <v>32</v>
      </c>
      <c r="D569" s="7">
        <v>30.0</v>
      </c>
      <c r="E569" s="6" t="s">
        <v>55</v>
      </c>
      <c r="F569" s="6" t="s">
        <v>18</v>
      </c>
      <c r="G569" s="6" t="s">
        <v>36</v>
      </c>
      <c r="H569" s="6" t="s">
        <v>198</v>
      </c>
      <c r="I569" s="10" t="str">
        <f t="shared" si="1"/>
        <v>_2025_</v>
      </c>
      <c r="J569" s="10" t="str">
        <f t="shared" si="2"/>
        <v>_8_</v>
      </c>
    </row>
    <row r="570" hidden="1">
      <c r="A570" s="5">
        <v>45886.0</v>
      </c>
      <c r="B570" s="6" t="s">
        <v>20</v>
      </c>
      <c r="C570" s="6" t="s">
        <v>31</v>
      </c>
      <c r="D570" s="7">
        <v>113.0</v>
      </c>
      <c r="E570" s="6" t="s">
        <v>12</v>
      </c>
      <c r="F570" s="11"/>
      <c r="G570" s="6" t="s">
        <v>47</v>
      </c>
      <c r="H570" s="6" t="s">
        <v>487</v>
      </c>
      <c r="I570" s="10" t="str">
        <f t="shared" si="1"/>
        <v>_2025_</v>
      </c>
      <c r="J570" s="10" t="str">
        <f t="shared" si="2"/>
        <v>_8_</v>
      </c>
    </row>
    <row r="571" hidden="1">
      <c r="A571" s="5">
        <v>45888.0</v>
      </c>
      <c r="B571" s="6" t="s">
        <v>20</v>
      </c>
      <c r="C571" s="6" t="s">
        <v>25</v>
      </c>
      <c r="D571" s="7">
        <v>90.0</v>
      </c>
      <c r="E571" s="6" t="s">
        <v>12</v>
      </c>
      <c r="F571" s="11"/>
      <c r="G571" s="6" t="s">
        <v>82</v>
      </c>
      <c r="H571" s="6" t="s">
        <v>488</v>
      </c>
      <c r="I571" s="10" t="str">
        <f t="shared" si="1"/>
        <v>_2025_</v>
      </c>
      <c r="J571" s="10" t="str">
        <f t="shared" si="2"/>
        <v>_8_</v>
      </c>
    </row>
    <row r="572" hidden="1">
      <c r="A572" s="5">
        <v>45888.0</v>
      </c>
      <c r="B572" s="6" t="s">
        <v>20</v>
      </c>
      <c r="C572" s="6" t="s">
        <v>25</v>
      </c>
      <c r="D572" s="7">
        <v>50.0</v>
      </c>
      <c r="E572" s="6" t="s">
        <v>12</v>
      </c>
      <c r="F572" s="11"/>
      <c r="G572" s="6" t="s">
        <v>177</v>
      </c>
      <c r="H572" s="11"/>
      <c r="I572" s="10" t="str">
        <f t="shared" si="1"/>
        <v>_2025_</v>
      </c>
      <c r="J572" s="10" t="str">
        <f t="shared" si="2"/>
        <v>_8_</v>
      </c>
    </row>
    <row r="573" hidden="1">
      <c r="A573" s="5">
        <v>45888.0</v>
      </c>
      <c r="B573" s="6" t="s">
        <v>20</v>
      </c>
      <c r="C573" s="6" t="s">
        <v>31</v>
      </c>
      <c r="D573" s="7">
        <v>30.0</v>
      </c>
      <c r="E573" s="6" t="s">
        <v>12</v>
      </c>
      <c r="F573" s="11"/>
      <c r="G573" s="11"/>
      <c r="H573" s="6" t="s">
        <v>49</v>
      </c>
      <c r="I573" s="10" t="str">
        <f t="shared" si="1"/>
        <v>_2025_</v>
      </c>
      <c r="J573" s="10" t="str">
        <f t="shared" si="2"/>
        <v>_8_</v>
      </c>
    </row>
    <row r="574" hidden="1">
      <c r="A574" s="5">
        <v>45889.0</v>
      </c>
      <c r="B574" s="6" t="s">
        <v>20</v>
      </c>
      <c r="C574" s="6" t="s">
        <v>35</v>
      </c>
      <c r="D574" s="7">
        <v>63.25</v>
      </c>
      <c r="E574" s="6" t="s">
        <v>55</v>
      </c>
      <c r="F574" s="6" t="s">
        <v>18</v>
      </c>
      <c r="G574" s="6" t="s">
        <v>36</v>
      </c>
      <c r="H574" s="6" t="s">
        <v>489</v>
      </c>
      <c r="I574" s="10" t="str">
        <f t="shared" si="1"/>
        <v>_2025_</v>
      </c>
      <c r="J574" s="10" t="str">
        <f t="shared" si="2"/>
        <v>_8_</v>
      </c>
    </row>
    <row r="575" hidden="1">
      <c r="A575" s="5">
        <v>45889.0</v>
      </c>
      <c r="B575" s="6" t="s">
        <v>20</v>
      </c>
      <c r="C575" s="6" t="s">
        <v>35</v>
      </c>
      <c r="D575" s="17">
        <f>40+26</f>
        <v>66</v>
      </c>
      <c r="E575" s="6" t="s">
        <v>12</v>
      </c>
      <c r="F575" s="11"/>
      <c r="G575" s="6" t="s">
        <v>327</v>
      </c>
      <c r="H575" s="6" t="s">
        <v>490</v>
      </c>
      <c r="I575" s="10" t="str">
        <f t="shared" si="1"/>
        <v>_2025_</v>
      </c>
      <c r="J575" s="10" t="str">
        <f t="shared" si="2"/>
        <v>_8_</v>
      </c>
    </row>
    <row r="576" hidden="1">
      <c r="A576" s="5">
        <v>45889.0</v>
      </c>
      <c r="B576" s="6" t="s">
        <v>20</v>
      </c>
      <c r="C576" s="6" t="s">
        <v>25</v>
      </c>
      <c r="D576" s="7">
        <v>60.0</v>
      </c>
      <c r="E576" s="6" t="s">
        <v>150</v>
      </c>
      <c r="F576" s="11"/>
      <c r="G576" s="11"/>
      <c r="H576" s="11"/>
      <c r="I576" s="10" t="str">
        <f t="shared" si="1"/>
        <v>_2025_</v>
      </c>
      <c r="J576" s="10" t="str">
        <f t="shared" si="2"/>
        <v>_8_</v>
      </c>
    </row>
    <row r="577" hidden="1">
      <c r="A577" s="5">
        <v>45890.0</v>
      </c>
      <c r="B577" s="6" t="s">
        <v>20</v>
      </c>
      <c r="C577" s="6" t="s">
        <v>32</v>
      </c>
      <c r="D577" s="7">
        <v>110.0</v>
      </c>
      <c r="E577" s="6" t="s">
        <v>12</v>
      </c>
      <c r="F577" s="11"/>
      <c r="G577" s="6" t="s">
        <v>36</v>
      </c>
      <c r="H577" s="6" t="s">
        <v>491</v>
      </c>
      <c r="I577" s="10" t="str">
        <f t="shared" si="1"/>
        <v>_2025_</v>
      </c>
      <c r="J577" s="10" t="str">
        <f t="shared" si="2"/>
        <v>_8_</v>
      </c>
    </row>
    <row r="578" hidden="1">
      <c r="A578" s="5">
        <v>45890.0</v>
      </c>
      <c r="B578" s="6" t="s">
        <v>20</v>
      </c>
      <c r="C578" s="6" t="s">
        <v>25</v>
      </c>
      <c r="D578" s="7">
        <v>99.0</v>
      </c>
      <c r="E578" s="6" t="s">
        <v>55</v>
      </c>
      <c r="F578" s="6" t="s">
        <v>18</v>
      </c>
      <c r="G578" s="6" t="s">
        <v>30</v>
      </c>
      <c r="H578" s="11"/>
      <c r="I578" s="10" t="str">
        <f t="shared" si="1"/>
        <v>_2025_</v>
      </c>
      <c r="J578" s="10" t="str">
        <f t="shared" si="2"/>
        <v>_8_</v>
      </c>
    </row>
    <row r="579" hidden="1">
      <c r="A579" s="5">
        <v>45891.0</v>
      </c>
      <c r="B579" s="6" t="s">
        <v>20</v>
      </c>
      <c r="C579" s="6" t="s">
        <v>25</v>
      </c>
      <c r="D579" s="7">
        <v>146.0</v>
      </c>
      <c r="E579" s="6" t="s">
        <v>55</v>
      </c>
      <c r="F579" s="6" t="s">
        <v>18</v>
      </c>
      <c r="G579" s="11"/>
      <c r="H579" s="6" t="s">
        <v>286</v>
      </c>
      <c r="I579" s="10" t="str">
        <f t="shared" si="1"/>
        <v>_2025_</v>
      </c>
      <c r="J579" s="10" t="str">
        <f t="shared" si="2"/>
        <v>_8_</v>
      </c>
    </row>
    <row r="580" hidden="1">
      <c r="A580" s="5">
        <v>45891.0</v>
      </c>
      <c r="B580" s="6" t="s">
        <v>62</v>
      </c>
      <c r="C580" s="6" t="s">
        <v>86</v>
      </c>
      <c r="D580" s="7">
        <v>174.84</v>
      </c>
      <c r="E580" s="6" t="s">
        <v>12</v>
      </c>
      <c r="F580" s="11"/>
      <c r="G580" s="11"/>
      <c r="H580" s="11"/>
      <c r="I580" s="10" t="str">
        <f t="shared" si="1"/>
        <v>_2025_</v>
      </c>
      <c r="J580" s="10" t="str">
        <f t="shared" si="2"/>
        <v>_8_</v>
      </c>
    </row>
    <row r="581" hidden="1">
      <c r="A581" s="5">
        <v>45891.0</v>
      </c>
      <c r="B581" s="6" t="s">
        <v>20</v>
      </c>
      <c r="C581" s="6" t="s">
        <v>25</v>
      </c>
      <c r="D581" s="7">
        <v>179.0</v>
      </c>
      <c r="E581" s="6" t="s">
        <v>55</v>
      </c>
      <c r="F581" s="6" t="s">
        <v>18</v>
      </c>
      <c r="G581" s="6" t="s">
        <v>30</v>
      </c>
      <c r="H581" s="11"/>
      <c r="I581" s="10" t="str">
        <f t="shared" si="1"/>
        <v>_2025_</v>
      </c>
      <c r="J581" s="10" t="str">
        <f t="shared" si="2"/>
        <v>_8_</v>
      </c>
    </row>
    <row r="582" hidden="1">
      <c r="A582" s="5">
        <v>45893.0</v>
      </c>
      <c r="B582" s="6" t="s">
        <v>20</v>
      </c>
      <c r="C582" s="6" t="s">
        <v>25</v>
      </c>
      <c r="D582" s="7">
        <v>154.0</v>
      </c>
      <c r="E582" s="6" t="s">
        <v>17</v>
      </c>
      <c r="F582" s="6" t="s">
        <v>18</v>
      </c>
      <c r="G582" s="6" t="s">
        <v>82</v>
      </c>
      <c r="H582" s="6" t="s">
        <v>332</v>
      </c>
      <c r="I582" s="10" t="str">
        <f t="shared" si="1"/>
        <v>_2025_</v>
      </c>
      <c r="J582" s="10" t="str">
        <f t="shared" si="2"/>
        <v>_8_</v>
      </c>
    </row>
    <row r="583" hidden="1">
      <c r="A583" s="5">
        <v>45893.0</v>
      </c>
      <c r="B583" s="6" t="s">
        <v>20</v>
      </c>
      <c r="C583" s="6" t="s">
        <v>35</v>
      </c>
      <c r="D583" s="17">
        <f>50+80+10</f>
        <v>140</v>
      </c>
      <c r="E583" s="6" t="s">
        <v>12</v>
      </c>
      <c r="F583" s="11"/>
      <c r="G583" s="11"/>
      <c r="H583" s="6" t="s">
        <v>492</v>
      </c>
      <c r="I583" s="10" t="str">
        <f t="shared" si="1"/>
        <v>_2025_</v>
      </c>
      <c r="J583" s="10" t="str">
        <f t="shared" si="2"/>
        <v>_8_</v>
      </c>
    </row>
    <row r="584" hidden="1">
      <c r="A584" s="5">
        <v>45893.0</v>
      </c>
      <c r="B584" s="6" t="s">
        <v>20</v>
      </c>
      <c r="C584" s="6" t="s">
        <v>31</v>
      </c>
      <c r="D584" s="7">
        <f>43.5</f>
        <v>43.5</v>
      </c>
      <c r="E584" s="6" t="s">
        <v>55</v>
      </c>
      <c r="F584" s="6" t="s">
        <v>18</v>
      </c>
      <c r="G584" s="6" t="s">
        <v>36</v>
      </c>
      <c r="H584" s="6" t="s">
        <v>469</v>
      </c>
      <c r="I584" s="10" t="str">
        <f t="shared" si="1"/>
        <v>_2025_</v>
      </c>
      <c r="J584" s="10" t="str">
        <f t="shared" si="2"/>
        <v>_8_</v>
      </c>
    </row>
    <row r="585" hidden="1">
      <c r="A585" s="5">
        <v>45893.0</v>
      </c>
      <c r="B585" s="6" t="s">
        <v>20</v>
      </c>
      <c r="C585" s="6" t="s">
        <v>35</v>
      </c>
      <c r="D585" s="17">
        <f>17.5+70+23</f>
        <v>110.5</v>
      </c>
      <c r="E585" s="6" t="s">
        <v>17</v>
      </c>
      <c r="F585" s="6" t="s">
        <v>18</v>
      </c>
      <c r="G585" s="6" t="s">
        <v>36</v>
      </c>
      <c r="H585" s="6" t="s">
        <v>493</v>
      </c>
      <c r="I585" s="10" t="str">
        <f t="shared" si="1"/>
        <v>_2025_</v>
      </c>
      <c r="J585" s="10" t="str">
        <f t="shared" si="2"/>
        <v>_8_</v>
      </c>
    </row>
    <row r="586" hidden="1">
      <c r="A586" s="5">
        <v>45893.0</v>
      </c>
      <c r="B586" s="6" t="s">
        <v>20</v>
      </c>
      <c r="C586" s="6" t="s">
        <v>31</v>
      </c>
      <c r="D586" s="17">
        <f>24</f>
        <v>24</v>
      </c>
      <c r="E586" s="6" t="s">
        <v>17</v>
      </c>
      <c r="F586" s="6" t="s">
        <v>18</v>
      </c>
      <c r="G586" s="6" t="s">
        <v>36</v>
      </c>
      <c r="H586" s="6" t="s">
        <v>494</v>
      </c>
      <c r="I586" s="10" t="str">
        <f t="shared" si="1"/>
        <v>_2025_</v>
      </c>
      <c r="J586" s="10" t="str">
        <f t="shared" si="2"/>
        <v>_8_</v>
      </c>
    </row>
    <row r="587" hidden="1">
      <c r="A587" s="5">
        <v>45893.0</v>
      </c>
      <c r="B587" s="6" t="s">
        <v>27</v>
      </c>
      <c r="C587" s="6" t="s">
        <v>28</v>
      </c>
      <c r="D587" s="7">
        <v>54.0</v>
      </c>
      <c r="E587" s="6" t="s">
        <v>17</v>
      </c>
      <c r="F587" s="6" t="s">
        <v>18</v>
      </c>
      <c r="G587" s="6" t="s">
        <v>36</v>
      </c>
      <c r="H587" s="6" t="s">
        <v>495</v>
      </c>
      <c r="I587" s="10" t="str">
        <f t="shared" si="1"/>
        <v>_2025_</v>
      </c>
      <c r="J587" s="10" t="str">
        <f t="shared" si="2"/>
        <v>_8_</v>
      </c>
    </row>
    <row r="588" hidden="1">
      <c r="A588" s="5">
        <v>45893.0</v>
      </c>
      <c r="B588" s="6" t="s">
        <v>20</v>
      </c>
      <c r="C588" s="6" t="s">
        <v>32</v>
      </c>
      <c r="D588" s="17">
        <f>35+35+26+26-3</f>
        <v>119</v>
      </c>
      <c r="E588" s="6" t="s">
        <v>17</v>
      </c>
      <c r="F588" s="6" t="s">
        <v>18</v>
      </c>
      <c r="G588" s="6" t="s">
        <v>36</v>
      </c>
      <c r="H588" s="6" t="s">
        <v>496</v>
      </c>
      <c r="I588" s="10" t="str">
        <f t="shared" si="1"/>
        <v>_2025_</v>
      </c>
      <c r="J588" s="10" t="str">
        <f t="shared" si="2"/>
        <v>_8_</v>
      </c>
    </row>
    <row r="589" hidden="1">
      <c r="A589" s="5">
        <v>45894.0</v>
      </c>
      <c r="B589" s="6" t="s">
        <v>23</v>
      </c>
      <c r="C589" s="6" t="s">
        <v>24</v>
      </c>
      <c r="D589" s="7">
        <v>41955.86</v>
      </c>
      <c r="E589" s="6" t="s">
        <v>12</v>
      </c>
      <c r="F589" s="11"/>
      <c r="G589" s="11"/>
      <c r="H589" s="11"/>
      <c r="I589" s="10" t="str">
        <f t="shared" si="1"/>
        <v>_2025_</v>
      </c>
      <c r="J589" s="10" t="str">
        <f t="shared" si="2"/>
        <v>_8_</v>
      </c>
    </row>
    <row r="590" hidden="1">
      <c r="A590" s="5">
        <v>45894.0</v>
      </c>
      <c r="B590" s="6" t="s">
        <v>21</v>
      </c>
      <c r="C590" s="6" t="s">
        <v>101</v>
      </c>
      <c r="D590" s="7">
        <v>8251.0</v>
      </c>
      <c r="E590" s="6" t="s">
        <v>12</v>
      </c>
      <c r="F590" s="11"/>
      <c r="G590" s="6" t="s">
        <v>431</v>
      </c>
      <c r="H590" s="6" t="s">
        <v>497</v>
      </c>
      <c r="I590" s="10" t="str">
        <f t="shared" si="1"/>
        <v>_2025_</v>
      </c>
      <c r="J590" s="10" t="str">
        <f t="shared" si="2"/>
        <v>_8_</v>
      </c>
    </row>
    <row r="591" hidden="1">
      <c r="A591" s="5">
        <v>45894.0</v>
      </c>
      <c r="B591" s="6" t="s">
        <v>21</v>
      </c>
      <c r="C591" s="6" t="s">
        <v>101</v>
      </c>
      <c r="D591" s="7">
        <v>9000.0</v>
      </c>
      <c r="E591" s="6" t="s">
        <v>12</v>
      </c>
      <c r="F591" s="11"/>
      <c r="G591" s="6" t="s">
        <v>433</v>
      </c>
      <c r="H591" s="6" t="s">
        <v>434</v>
      </c>
      <c r="I591" s="10" t="str">
        <f t="shared" si="1"/>
        <v>_2025_</v>
      </c>
      <c r="J591" s="10" t="str">
        <f t="shared" si="2"/>
        <v>_8_</v>
      </c>
    </row>
    <row r="592" hidden="1">
      <c r="A592" s="5">
        <v>45894.0</v>
      </c>
      <c r="B592" s="6" t="s">
        <v>10</v>
      </c>
      <c r="C592" s="6" t="s">
        <v>13</v>
      </c>
      <c r="D592" s="7">
        <v>600.0</v>
      </c>
      <c r="E592" s="6" t="s">
        <v>12</v>
      </c>
      <c r="F592" s="11"/>
      <c r="G592" s="11"/>
      <c r="H592" s="6" t="s">
        <v>498</v>
      </c>
      <c r="I592" s="10" t="str">
        <f t="shared" si="1"/>
        <v>_2025_</v>
      </c>
      <c r="J592" s="10" t="str">
        <f t="shared" si="2"/>
        <v>_8_</v>
      </c>
    </row>
    <row r="593" hidden="1">
      <c r="A593" s="5">
        <v>45894.0</v>
      </c>
      <c r="B593" s="6" t="s">
        <v>42</v>
      </c>
      <c r="C593" s="6" t="s">
        <v>94</v>
      </c>
      <c r="D593" s="7">
        <v>650.0</v>
      </c>
      <c r="E593" s="6" t="s">
        <v>12</v>
      </c>
      <c r="F593" s="11"/>
      <c r="G593" s="11"/>
      <c r="H593" s="11"/>
      <c r="I593" s="10" t="str">
        <f t="shared" si="1"/>
        <v>_2025_</v>
      </c>
      <c r="J593" s="10" t="str">
        <f t="shared" si="2"/>
        <v>_8_</v>
      </c>
    </row>
    <row r="594" hidden="1">
      <c r="A594" s="5">
        <v>45894.0</v>
      </c>
      <c r="B594" s="6" t="s">
        <v>42</v>
      </c>
      <c r="C594" s="6" t="s">
        <v>96</v>
      </c>
      <c r="D594" s="7">
        <v>450.0</v>
      </c>
      <c r="E594" s="6" t="s">
        <v>12</v>
      </c>
      <c r="F594" s="11"/>
      <c r="G594" s="11"/>
      <c r="H594" s="11"/>
      <c r="I594" s="10" t="str">
        <f t="shared" si="1"/>
        <v>_2025_</v>
      </c>
      <c r="J594" s="10" t="str">
        <f t="shared" si="2"/>
        <v>_8_</v>
      </c>
    </row>
    <row r="595" hidden="1">
      <c r="A595" s="5">
        <v>45895.0</v>
      </c>
      <c r="B595" s="6" t="s">
        <v>172</v>
      </c>
      <c r="C595" s="6" t="s">
        <v>173</v>
      </c>
      <c r="D595" s="7">
        <v>10.0</v>
      </c>
      <c r="E595" s="6" t="s">
        <v>12</v>
      </c>
      <c r="F595" s="11"/>
      <c r="G595" s="6" t="s">
        <v>47</v>
      </c>
      <c r="H595" s="6" t="s">
        <v>499</v>
      </c>
      <c r="I595" s="10" t="str">
        <f t="shared" si="1"/>
        <v>_2025_</v>
      </c>
      <c r="J595" s="10" t="str">
        <f t="shared" si="2"/>
        <v>_8_</v>
      </c>
    </row>
    <row r="596" hidden="1">
      <c r="A596" s="5">
        <v>45893.0</v>
      </c>
      <c r="B596" s="6" t="s">
        <v>20</v>
      </c>
      <c r="C596" s="6" t="s">
        <v>31</v>
      </c>
      <c r="D596" s="7">
        <v>127.0</v>
      </c>
      <c r="E596" s="6" t="s">
        <v>12</v>
      </c>
      <c r="F596" s="11"/>
      <c r="G596" s="6" t="s">
        <v>47</v>
      </c>
      <c r="H596" s="11"/>
      <c r="I596" s="10" t="str">
        <f t="shared" si="1"/>
        <v>_2025_</v>
      </c>
      <c r="J596" s="10" t="str">
        <f t="shared" si="2"/>
        <v>_8_</v>
      </c>
    </row>
    <row r="597" hidden="1">
      <c r="A597" s="5">
        <v>45896.0</v>
      </c>
      <c r="B597" s="6" t="s">
        <v>20</v>
      </c>
      <c r="C597" s="6" t="s">
        <v>25</v>
      </c>
      <c r="D597" s="7">
        <v>145.0</v>
      </c>
      <c r="E597" s="6" t="s">
        <v>55</v>
      </c>
      <c r="F597" s="6" t="s">
        <v>334</v>
      </c>
      <c r="G597" s="11"/>
      <c r="H597" s="11"/>
      <c r="I597" s="10" t="str">
        <f t="shared" si="1"/>
        <v>_2025_</v>
      </c>
      <c r="J597" s="10" t="str">
        <f t="shared" si="2"/>
        <v>_8_</v>
      </c>
    </row>
    <row r="598" hidden="1">
      <c r="A598" s="5">
        <v>45896.0</v>
      </c>
      <c r="B598" s="6" t="s">
        <v>20</v>
      </c>
      <c r="C598" s="6" t="s">
        <v>31</v>
      </c>
      <c r="D598" s="7">
        <v>129.0</v>
      </c>
      <c r="E598" s="6" t="s">
        <v>55</v>
      </c>
      <c r="F598" s="6" t="s">
        <v>334</v>
      </c>
      <c r="G598" s="6" t="s">
        <v>26</v>
      </c>
      <c r="H598" s="11"/>
      <c r="I598" s="10" t="str">
        <f t="shared" si="1"/>
        <v>_2025_</v>
      </c>
      <c r="J598" s="10" t="str">
        <f t="shared" si="2"/>
        <v>_8_</v>
      </c>
    </row>
    <row r="599" hidden="1">
      <c r="A599" s="5">
        <v>45897.0</v>
      </c>
      <c r="B599" s="6" t="s">
        <v>20</v>
      </c>
      <c r="C599" s="6" t="s">
        <v>25</v>
      </c>
      <c r="D599" s="7">
        <v>90.0</v>
      </c>
      <c r="E599" s="6" t="s">
        <v>12</v>
      </c>
      <c r="F599" s="11"/>
      <c r="G599" s="11"/>
      <c r="H599" s="6" t="s">
        <v>500</v>
      </c>
      <c r="I599" s="10" t="str">
        <f t="shared" si="1"/>
        <v>_2025_</v>
      </c>
      <c r="J599" s="10" t="str">
        <f t="shared" si="2"/>
        <v>_8_</v>
      </c>
    </row>
    <row r="600" hidden="1">
      <c r="A600" s="5">
        <v>45896.0</v>
      </c>
      <c r="B600" s="6" t="s">
        <v>20</v>
      </c>
      <c r="C600" s="6" t="s">
        <v>31</v>
      </c>
      <c r="D600" s="7">
        <v>1.0</v>
      </c>
      <c r="E600" s="6" t="s">
        <v>12</v>
      </c>
      <c r="F600" s="11"/>
      <c r="G600" s="6" t="s">
        <v>36</v>
      </c>
      <c r="H600" s="6" t="s">
        <v>469</v>
      </c>
      <c r="I600" s="10" t="str">
        <f t="shared" si="1"/>
        <v>_2025_</v>
      </c>
      <c r="J600" s="10" t="str">
        <f t="shared" si="2"/>
        <v>_8_</v>
      </c>
    </row>
    <row r="601" hidden="1">
      <c r="A601" s="5">
        <v>45898.0</v>
      </c>
      <c r="B601" s="6" t="s">
        <v>42</v>
      </c>
      <c r="C601" s="6" t="s">
        <v>140</v>
      </c>
      <c r="D601" s="7">
        <v>26.34</v>
      </c>
      <c r="E601" s="6" t="s">
        <v>12</v>
      </c>
      <c r="F601" s="11"/>
      <c r="G601" s="11"/>
      <c r="H601" s="11"/>
      <c r="I601" s="10" t="str">
        <f t="shared" si="1"/>
        <v>_2025_</v>
      </c>
      <c r="J601" s="10" t="str">
        <f t="shared" si="2"/>
        <v>_8_</v>
      </c>
    </row>
    <row r="602" hidden="1">
      <c r="A602" s="5">
        <v>45899.0</v>
      </c>
      <c r="B602" s="6" t="s">
        <v>20</v>
      </c>
      <c r="C602" s="6" t="s">
        <v>25</v>
      </c>
      <c r="D602" s="7">
        <v>99.0</v>
      </c>
      <c r="E602" s="6" t="s">
        <v>55</v>
      </c>
      <c r="F602" s="6" t="s">
        <v>18</v>
      </c>
      <c r="G602" s="6" t="s">
        <v>30</v>
      </c>
      <c r="H602" s="11"/>
      <c r="I602" s="10" t="str">
        <f t="shared" si="1"/>
        <v>_2025_</v>
      </c>
      <c r="J602" s="10" t="str">
        <f t="shared" si="2"/>
        <v>_8_</v>
      </c>
    </row>
    <row r="603" hidden="1">
      <c r="A603" s="5">
        <v>45899.0</v>
      </c>
      <c r="B603" s="6" t="s">
        <v>15</v>
      </c>
      <c r="C603" s="6" t="s">
        <v>144</v>
      </c>
      <c r="D603" s="17">
        <f>463+205</f>
        <v>668</v>
      </c>
      <c r="E603" s="6" t="s">
        <v>17</v>
      </c>
      <c r="F603" s="6" t="s">
        <v>18</v>
      </c>
      <c r="G603" s="11"/>
      <c r="H603" s="6" t="s">
        <v>501</v>
      </c>
      <c r="I603" s="10" t="str">
        <f t="shared" si="1"/>
        <v>_2025_</v>
      </c>
      <c r="J603" s="10" t="str">
        <f t="shared" si="2"/>
        <v>_8_</v>
      </c>
    </row>
    <row r="604" hidden="1">
      <c r="A604" s="5">
        <v>45899.0</v>
      </c>
      <c r="B604" s="6" t="s">
        <v>39</v>
      </c>
      <c r="C604" s="6" t="s">
        <v>114</v>
      </c>
      <c r="D604" s="17">
        <f>168+539</f>
        <v>707</v>
      </c>
      <c r="E604" s="6" t="s">
        <v>17</v>
      </c>
      <c r="F604" s="6" t="s">
        <v>18</v>
      </c>
      <c r="G604" s="11"/>
      <c r="H604" s="6" t="s">
        <v>502</v>
      </c>
      <c r="I604" s="10" t="str">
        <f t="shared" si="1"/>
        <v>_2025_</v>
      </c>
      <c r="J604" s="10" t="str">
        <f t="shared" si="2"/>
        <v>_8_</v>
      </c>
    </row>
    <row r="605" hidden="1">
      <c r="A605" s="5">
        <v>45899.0</v>
      </c>
      <c r="B605" s="6" t="s">
        <v>27</v>
      </c>
      <c r="C605" s="6" t="s">
        <v>116</v>
      </c>
      <c r="D605" s="17">
        <f>89+157+161</f>
        <v>407</v>
      </c>
      <c r="E605" s="6" t="s">
        <v>17</v>
      </c>
      <c r="F605" s="6" t="s">
        <v>18</v>
      </c>
      <c r="G605" s="11"/>
      <c r="H605" s="6" t="s">
        <v>503</v>
      </c>
      <c r="I605" s="10" t="str">
        <f t="shared" si="1"/>
        <v>_2025_</v>
      </c>
      <c r="J605" s="10" t="str">
        <f t="shared" si="2"/>
        <v>_8_</v>
      </c>
    </row>
    <row r="606" hidden="1">
      <c r="A606" s="5">
        <v>45899.0</v>
      </c>
      <c r="B606" s="6" t="s">
        <v>27</v>
      </c>
      <c r="C606" s="6" t="s">
        <v>28</v>
      </c>
      <c r="D606" s="7">
        <v>181.0</v>
      </c>
      <c r="E606" s="6" t="s">
        <v>17</v>
      </c>
      <c r="F606" s="6" t="s">
        <v>18</v>
      </c>
      <c r="G606" s="11"/>
      <c r="H606" s="6" t="s">
        <v>504</v>
      </c>
      <c r="I606" s="10" t="str">
        <f t="shared" si="1"/>
        <v>_2025_</v>
      </c>
      <c r="J606" s="10" t="str">
        <f t="shared" si="2"/>
        <v>_8_</v>
      </c>
    </row>
    <row r="607" hidden="1">
      <c r="A607" s="5">
        <v>45899.0</v>
      </c>
      <c r="B607" s="6" t="s">
        <v>20</v>
      </c>
      <c r="C607" s="6" t="s">
        <v>138</v>
      </c>
      <c r="D607" s="7">
        <v>645.0</v>
      </c>
      <c r="E607" s="6" t="s">
        <v>17</v>
      </c>
      <c r="F607" s="6" t="s">
        <v>18</v>
      </c>
      <c r="G607" s="11"/>
      <c r="H607" s="6" t="s">
        <v>505</v>
      </c>
      <c r="I607" s="10" t="str">
        <f t="shared" si="1"/>
        <v>_2025_</v>
      </c>
      <c r="J607" s="10" t="str">
        <f t="shared" si="2"/>
        <v>_8_</v>
      </c>
    </row>
    <row r="608" hidden="1">
      <c r="A608" s="5">
        <v>45899.0</v>
      </c>
      <c r="B608" s="6" t="s">
        <v>27</v>
      </c>
      <c r="C608" s="6" t="s">
        <v>154</v>
      </c>
      <c r="D608" s="7">
        <v>428.0</v>
      </c>
      <c r="E608" s="6" t="s">
        <v>17</v>
      </c>
      <c r="F608" s="6" t="s">
        <v>18</v>
      </c>
      <c r="G608" s="11"/>
      <c r="H608" s="6" t="s">
        <v>506</v>
      </c>
      <c r="I608" s="10" t="str">
        <f t="shared" si="1"/>
        <v>_2025_</v>
      </c>
      <c r="J608" s="10" t="str">
        <f t="shared" si="2"/>
        <v>_8_</v>
      </c>
    </row>
    <row r="609" hidden="1">
      <c r="A609" s="5">
        <v>45900.0</v>
      </c>
      <c r="B609" s="6" t="s">
        <v>20</v>
      </c>
      <c r="C609" s="6" t="s">
        <v>25</v>
      </c>
      <c r="D609" s="7">
        <v>216.08</v>
      </c>
      <c r="E609" s="6" t="s">
        <v>55</v>
      </c>
      <c r="F609" s="6" t="s">
        <v>18</v>
      </c>
      <c r="G609" s="6" t="s">
        <v>259</v>
      </c>
      <c r="H609" s="11"/>
      <c r="I609" s="10" t="str">
        <f t="shared" si="1"/>
        <v>_2025_</v>
      </c>
      <c r="J609" s="10" t="str">
        <f t="shared" si="2"/>
        <v>_8_</v>
      </c>
    </row>
    <row r="610" hidden="1">
      <c r="A610" s="5">
        <v>45900.0</v>
      </c>
      <c r="B610" s="6" t="s">
        <v>20</v>
      </c>
      <c r="C610" s="6" t="s">
        <v>25</v>
      </c>
      <c r="D610" s="7">
        <v>191.0</v>
      </c>
      <c r="E610" s="6" t="s">
        <v>55</v>
      </c>
      <c r="F610" s="6" t="s">
        <v>18</v>
      </c>
      <c r="G610" s="6" t="s">
        <v>229</v>
      </c>
      <c r="H610" s="11"/>
      <c r="I610" s="10" t="str">
        <f t="shared" si="1"/>
        <v>_2025_</v>
      </c>
      <c r="J610" s="10" t="str">
        <f t="shared" si="2"/>
        <v>_8_</v>
      </c>
    </row>
    <row r="611" hidden="1">
      <c r="A611" s="5">
        <v>45900.0</v>
      </c>
      <c r="B611" s="6" t="s">
        <v>20</v>
      </c>
      <c r="C611" s="6" t="s">
        <v>31</v>
      </c>
      <c r="D611" s="7">
        <v>55.0</v>
      </c>
      <c r="E611" s="6" t="s">
        <v>12</v>
      </c>
      <c r="F611" s="11"/>
      <c r="G611" s="6" t="s">
        <v>327</v>
      </c>
      <c r="H611" s="6" t="s">
        <v>507</v>
      </c>
      <c r="I611" s="10" t="str">
        <f t="shared" si="1"/>
        <v>_2025_</v>
      </c>
      <c r="J611" s="10" t="str">
        <f t="shared" si="2"/>
        <v>_8_</v>
      </c>
    </row>
    <row r="612">
      <c r="A612" s="5">
        <v>45902.0</v>
      </c>
      <c r="B612" s="11"/>
      <c r="C612" s="11"/>
      <c r="D612" s="17"/>
      <c r="E612" s="11"/>
      <c r="F612" s="11"/>
      <c r="G612" s="11"/>
      <c r="H612" s="11"/>
      <c r="I612" s="10" t="str">
        <f t="shared" si="1"/>
        <v>_2025_</v>
      </c>
      <c r="J612" s="10" t="str">
        <f t="shared" si="2"/>
        <v>_9_</v>
      </c>
    </row>
    <row r="613">
      <c r="A613" s="5">
        <v>45899.0</v>
      </c>
      <c r="B613" s="6" t="s">
        <v>20</v>
      </c>
      <c r="C613" s="6" t="s">
        <v>305</v>
      </c>
      <c r="D613" s="7">
        <v>176.0</v>
      </c>
      <c r="E613" s="6" t="s">
        <v>12</v>
      </c>
      <c r="F613" s="11"/>
      <c r="G613" s="11"/>
      <c r="H613" s="6" t="s">
        <v>508</v>
      </c>
      <c r="I613" s="10" t="str">
        <f t="shared" si="1"/>
        <v>_2025_</v>
      </c>
      <c r="J613" s="10" t="str">
        <f t="shared" si="2"/>
        <v>_8_</v>
      </c>
    </row>
    <row r="614">
      <c r="A614" s="5">
        <v>45899.0</v>
      </c>
      <c r="B614" s="6" t="s">
        <v>20</v>
      </c>
      <c r="C614" s="6" t="s">
        <v>32</v>
      </c>
      <c r="D614" s="7">
        <v>35.0</v>
      </c>
      <c r="E614" s="6" t="s">
        <v>12</v>
      </c>
      <c r="F614" s="11"/>
      <c r="G614" s="11"/>
      <c r="H614" s="6" t="s">
        <v>509</v>
      </c>
      <c r="I614" s="10" t="str">
        <f t="shared" si="1"/>
        <v>_2025_</v>
      </c>
      <c r="J614" s="10" t="str">
        <f t="shared" si="2"/>
        <v>_8_</v>
      </c>
    </row>
    <row r="615">
      <c r="A615" s="5">
        <v>45901.0</v>
      </c>
      <c r="B615" s="6" t="s">
        <v>20</v>
      </c>
      <c r="C615" s="6" t="s">
        <v>25</v>
      </c>
      <c r="D615" s="7">
        <v>100.0</v>
      </c>
      <c r="E615" s="6" t="s">
        <v>12</v>
      </c>
      <c r="F615" s="11"/>
      <c r="G615" s="6" t="s">
        <v>82</v>
      </c>
      <c r="H615" s="11"/>
      <c r="I615" s="10" t="str">
        <f t="shared" si="1"/>
        <v>_2025_</v>
      </c>
      <c r="J615" s="10" t="str">
        <f t="shared" si="2"/>
        <v>_9_</v>
      </c>
    </row>
    <row r="616">
      <c r="A616" s="5">
        <v>45901.0</v>
      </c>
      <c r="B616" s="6" t="s">
        <v>20</v>
      </c>
      <c r="C616" s="6" t="s">
        <v>305</v>
      </c>
      <c r="D616" s="17">
        <f>784-392</f>
        <v>392</v>
      </c>
      <c r="E616" s="6" t="s">
        <v>12</v>
      </c>
      <c r="F616" s="11"/>
      <c r="G616" s="11"/>
      <c r="H616" s="6" t="s">
        <v>510</v>
      </c>
      <c r="I616" s="10" t="str">
        <f t="shared" si="1"/>
        <v>_2025_</v>
      </c>
      <c r="J616" s="10" t="str">
        <f t="shared" si="2"/>
        <v>_9_</v>
      </c>
    </row>
    <row r="617">
      <c r="A617" s="5">
        <v>45902.0</v>
      </c>
      <c r="B617" s="6" t="s">
        <v>20</v>
      </c>
      <c r="C617" s="6" t="s">
        <v>25</v>
      </c>
      <c r="D617" s="7">
        <v>85.0</v>
      </c>
      <c r="E617" s="6" t="s">
        <v>12</v>
      </c>
      <c r="F617" s="11"/>
      <c r="G617" s="6" t="s">
        <v>82</v>
      </c>
      <c r="H617" s="11"/>
      <c r="I617" s="10" t="str">
        <f t="shared" si="1"/>
        <v>_2025_</v>
      </c>
      <c r="J617" s="10" t="str">
        <f t="shared" si="2"/>
        <v>_9_</v>
      </c>
    </row>
    <row r="618">
      <c r="A618" s="5">
        <v>45902.0</v>
      </c>
      <c r="B618" s="6" t="s">
        <v>20</v>
      </c>
      <c r="C618" s="6" t="s">
        <v>35</v>
      </c>
      <c r="D618" s="17">
        <f>7.5+72.75+109</f>
        <v>189.25</v>
      </c>
      <c r="E618" s="6" t="s">
        <v>17</v>
      </c>
      <c r="F618" s="6" t="s">
        <v>18</v>
      </c>
      <c r="G618" s="6" t="s">
        <v>36</v>
      </c>
      <c r="H618" s="6" t="s">
        <v>511</v>
      </c>
      <c r="I618" s="10" t="str">
        <f t="shared" si="1"/>
        <v>_2025_</v>
      </c>
      <c r="J618" s="10" t="str">
        <f t="shared" si="2"/>
        <v>_9_</v>
      </c>
    </row>
    <row r="619">
      <c r="A619" s="5">
        <v>45902.0</v>
      </c>
      <c r="B619" s="6" t="s">
        <v>20</v>
      </c>
      <c r="C619" s="6" t="s">
        <v>31</v>
      </c>
      <c r="D619" s="17">
        <f>53.5+40+28</f>
        <v>121.5</v>
      </c>
      <c r="E619" s="6" t="s">
        <v>17</v>
      </c>
      <c r="F619" s="6" t="s">
        <v>18</v>
      </c>
      <c r="G619" s="6" t="s">
        <v>36</v>
      </c>
      <c r="H619" s="6" t="s">
        <v>512</v>
      </c>
      <c r="I619" s="10" t="str">
        <f t="shared" si="1"/>
        <v>_2025_</v>
      </c>
      <c r="J619" s="10" t="str">
        <f t="shared" si="2"/>
        <v>_9_</v>
      </c>
    </row>
    <row r="620">
      <c r="A620" s="5">
        <v>45901.0</v>
      </c>
      <c r="B620" s="6" t="s">
        <v>20</v>
      </c>
      <c r="C620" s="6" t="s">
        <v>32</v>
      </c>
      <c r="D620" s="7">
        <v>65.0</v>
      </c>
      <c r="E620" s="6" t="s">
        <v>12</v>
      </c>
      <c r="F620" s="11"/>
      <c r="G620" s="6" t="s">
        <v>47</v>
      </c>
      <c r="H620" s="11"/>
      <c r="I620" s="10" t="str">
        <f t="shared" si="1"/>
        <v>_2025_</v>
      </c>
      <c r="J620" s="10" t="str">
        <f t="shared" si="2"/>
        <v>_9_</v>
      </c>
    </row>
    <row r="621">
      <c r="A621" s="5">
        <v>45899.0</v>
      </c>
      <c r="B621" s="6" t="s">
        <v>20</v>
      </c>
      <c r="C621" s="6" t="s">
        <v>32</v>
      </c>
      <c r="D621" s="7">
        <v>57.7</v>
      </c>
      <c r="E621" s="6" t="s">
        <v>12</v>
      </c>
      <c r="F621" s="11"/>
      <c r="G621" s="6" t="s">
        <v>47</v>
      </c>
      <c r="H621" s="11"/>
      <c r="I621" s="10" t="str">
        <f t="shared" si="1"/>
        <v>_2025_</v>
      </c>
      <c r="J621" s="10" t="str">
        <f t="shared" si="2"/>
        <v>_8_</v>
      </c>
    </row>
    <row r="622">
      <c r="A622" s="5">
        <v>45903.0</v>
      </c>
      <c r="B622" s="6" t="s">
        <v>20</v>
      </c>
      <c r="C622" s="6" t="s">
        <v>32</v>
      </c>
      <c r="D622" s="7">
        <v>45.0</v>
      </c>
      <c r="E622" s="6" t="s">
        <v>12</v>
      </c>
      <c r="F622" s="11"/>
      <c r="G622" s="6" t="s">
        <v>47</v>
      </c>
      <c r="H622" s="11"/>
      <c r="I622" s="10" t="str">
        <f t="shared" si="1"/>
        <v>_2025_</v>
      </c>
      <c r="J622" s="10" t="str">
        <f t="shared" si="2"/>
        <v>_9_</v>
      </c>
    </row>
    <row r="623">
      <c r="A623" s="5">
        <v>45903.0</v>
      </c>
      <c r="B623" s="6" t="s">
        <v>20</v>
      </c>
      <c r="C623" s="6" t="s">
        <v>25</v>
      </c>
      <c r="D623" s="17">
        <f>56+10</f>
        <v>66</v>
      </c>
      <c r="E623" s="6" t="s">
        <v>12</v>
      </c>
      <c r="F623" s="11"/>
      <c r="G623" s="6" t="s">
        <v>47</v>
      </c>
      <c r="H623" s="11"/>
      <c r="I623" s="10" t="str">
        <f t="shared" si="1"/>
        <v>_2025_</v>
      </c>
      <c r="J623" s="10" t="str">
        <f t="shared" si="2"/>
        <v>_9_</v>
      </c>
    </row>
    <row r="624">
      <c r="A624" s="5">
        <v>45903.0</v>
      </c>
      <c r="B624" s="6" t="s">
        <v>20</v>
      </c>
      <c r="C624" s="6" t="s">
        <v>25</v>
      </c>
      <c r="D624" s="7">
        <v>50.0</v>
      </c>
      <c r="E624" s="6" t="s">
        <v>12</v>
      </c>
      <c r="F624" s="11"/>
      <c r="G624" s="6" t="s">
        <v>177</v>
      </c>
      <c r="H624" s="11"/>
      <c r="I624" s="10" t="str">
        <f t="shared" si="1"/>
        <v>_2025_</v>
      </c>
      <c r="J624" s="10" t="str">
        <f t="shared" si="2"/>
        <v>_9_</v>
      </c>
    </row>
    <row r="625">
      <c r="A625" s="5">
        <v>45906.0</v>
      </c>
      <c r="B625" s="6" t="s">
        <v>42</v>
      </c>
      <c r="C625" s="6" t="s">
        <v>43</v>
      </c>
      <c r="D625" s="7">
        <v>19.0</v>
      </c>
      <c r="E625" s="6" t="s">
        <v>55</v>
      </c>
      <c r="F625" s="6" t="s">
        <v>18</v>
      </c>
      <c r="G625" s="11"/>
      <c r="H625" s="6" t="s">
        <v>44</v>
      </c>
      <c r="I625" s="10" t="str">
        <f t="shared" si="1"/>
        <v>_2025_</v>
      </c>
      <c r="J625" s="10" t="str">
        <f t="shared" si="2"/>
        <v>_9_</v>
      </c>
    </row>
    <row r="626">
      <c r="A626" s="5">
        <v>45906.0</v>
      </c>
      <c r="B626" s="6" t="s">
        <v>20</v>
      </c>
      <c r="C626" s="6" t="s">
        <v>32</v>
      </c>
      <c r="D626" s="7">
        <v>24.0</v>
      </c>
      <c r="E626" s="6" t="s">
        <v>12</v>
      </c>
      <c r="F626" s="11"/>
      <c r="G626" s="11"/>
      <c r="H626" s="6" t="s">
        <v>381</v>
      </c>
      <c r="I626" s="10" t="str">
        <f t="shared" si="1"/>
        <v>_2025_</v>
      </c>
      <c r="J626" s="10" t="str">
        <f t="shared" si="2"/>
        <v>_9_</v>
      </c>
    </row>
    <row r="627">
      <c r="A627" s="5">
        <v>45905.0</v>
      </c>
      <c r="B627" s="6" t="s">
        <v>20</v>
      </c>
      <c r="C627" s="6" t="s">
        <v>25</v>
      </c>
      <c r="D627" s="7">
        <v>217.1</v>
      </c>
      <c r="E627" s="6" t="s">
        <v>55</v>
      </c>
      <c r="F627" s="6" t="s">
        <v>18</v>
      </c>
      <c r="G627" s="6" t="s">
        <v>30</v>
      </c>
      <c r="H627" s="11"/>
      <c r="I627" s="10" t="str">
        <f t="shared" si="1"/>
        <v>_2025_</v>
      </c>
      <c r="J627" s="10" t="str">
        <f t="shared" si="2"/>
        <v>_9_</v>
      </c>
    </row>
    <row r="628">
      <c r="A628" s="5">
        <v>45904.0</v>
      </c>
      <c r="B628" s="6" t="s">
        <v>20</v>
      </c>
      <c r="C628" s="6" t="s">
        <v>25</v>
      </c>
      <c r="D628" s="7">
        <v>50.0</v>
      </c>
      <c r="E628" s="6" t="s">
        <v>12</v>
      </c>
      <c r="F628" s="11"/>
      <c r="G628" s="6" t="s">
        <v>177</v>
      </c>
      <c r="H628" s="11"/>
      <c r="I628" s="10" t="str">
        <f t="shared" si="1"/>
        <v>_2025_</v>
      </c>
      <c r="J628" s="10" t="str">
        <f t="shared" si="2"/>
        <v>_9_</v>
      </c>
    </row>
    <row r="629">
      <c r="A629" s="5">
        <v>45904.0</v>
      </c>
      <c r="B629" s="6" t="s">
        <v>20</v>
      </c>
      <c r="C629" s="6" t="s">
        <v>35</v>
      </c>
      <c r="D629" s="17">
        <f>40+50+40</f>
        <v>130</v>
      </c>
      <c r="E629" s="6" t="s">
        <v>12</v>
      </c>
      <c r="F629" s="11"/>
      <c r="G629" s="11"/>
      <c r="H629" s="6" t="s">
        <v>513</v>
      </c>
      <c r="I629" s="10" t="str">
        <f t="shared" si="1"/>
        <v>_2025_</v>
      </c>
      <c r="J629" s="10" t="str">
        <f t="shared" si="2"/>
        <v>_9_</v>
      </c>
    </row>
    <row r="630">
      <c r="A630" s="5">
        <v>45904.0</v>
      </c>
      <c r="B630" s="6" t="s">
        <v>20</v>
      </c>
      <c r="C630" s="6" t="s">
        <v>25</v>
      </c>
      <c r="D630" s="7">
        <v>70.0</v>
      </c>
      <c r="E630" s="6" t="s">
        <v>12</v>
      </c>
      <c r="F630" s="11"/>
      <c r="G630" s="11"/>
      <c r="H630" s="6" t="s">
        <v>383</v>
      </c>
      <c r="I630" s="10" t="str">
        <f t="shared" si="1"/>
        <v>_2025_</v>
      </c>
      <c r="J630" s="10" t="str">
        <f t="shared" si="2"/>
        <v>_9_</v>
      </c>
    </row>
    <row r="631">
      <c r="A631" s="5">
        <v>45907.0</v>
      </c>
      <c r="B631" s="6" t="s">
        <v>15</v>
      </c>
      <c r="C631" s="6" t="s">
        <v>144</v>
      </c>
      <c r="D631" s="7">
        <v>500.0</v>
      </c>
      <c r="E631" s="6" t="s">
        <v>12</v>
      </c>
      <c r="F631" s="11"/>
      <c r="G631" s="11"/>
      <c r="H631" s="6" t="s">
        <v>514</v>
      </c>
      <c r="I631" s="10" t="str">
        <f t="shared" si="1"/>
        <v>_2025_</v>
      </c>
      <c r="J631" s="10" t="str">
        <f t="shared" si="2"/>
        <v>_9_</v>
      </c>
    </row>
    <row r="632">
      <c r="A632" s="5">
        <v>45907.0</v>
      </c>
      <c r="B632" s="6" t="s">
        <v>20</v>
      </c>
      <c r="C632" s="6" t="s">
        <v>25</v>
      </c>
      <c r="D632" s="17">
        <f>70+110</f>
        <v>180</v>
      </c>
      <c r="E632" s="6" t="s">
        <v>12</v>
      </c>
      <c r="F632" s="11"/>
      <c r="G632" s="11"/>
      <c r="H632" s="6" t="s">
        <v>383</v>
      </c>
      <c r="I632" s="10" t="str">
        <f t="shared" si="1"/>
        <v>_2025_</v>
      </c>
      <c r="J632" s="10" t="str">
        <f t="shared" si="2"/>
        <v>_9_</v>
      </c>
    </row>
    <row r="633">
      <c r="A633" s="5">
        <v>45907.0</v>
      </c>
      <c r="B633" s="6" t="s">
        <v>20</v>
      </c>
      <c r="C633" s="6" t="s">
        <v>65</v>
      </c>
      <c r="D633" s="17">
        <f>280-110</f>
        <v>170</v>
      </c>
      <c r="E633" s="6" t="s">
        <v>12</v>
      </c>
      <c r="F633" s="11"/>
      <c r="G633" s="11"/>
      <c r="H633" s="6" t="s">
        <v>69</v>
      </c>
      <c r="I633" s="10" t="str">
        <f t="shared" si="1"/>
        <v>_2025_</v>
      </c>
      <c r="J633" s="10" t="str">
        <f t="shared" si="2"/>
        <v>_9_</v>
      </c>
    </row>
    <row r="634">
      <c r="A634" s="5">
        <v>45907.0</v>
      </c>
      <c r="B634" s="6" t="s">
        <v>159</v>
      </c>
      <c r="C634" s="6" t="s">
        <v>20</v>
      </c>
      <c r="D634" s="7">
        <v>90.0</v>
      </c>
      <c r="E634" s="6" t="s">
        <v>12</v>
      </c>
      <c r="F634" s="11"/>
      <c r="G634" s="11"/>
      <c r="H634" s="6" t="s">
        <v>515</v>
      </c>
      <c r="I634" s="10" t="str">
        <f t="shared" si="1"/>
        <v>_2025_</v>
      </c>
      <c r="J634" s="10" t="str">
        <f t="shared" si="2"/>
        <v>_9_</v>
      </c>
    </row>
    <row r="635">
      <c r="A635" s="5">
        <v>45907.0</v>
      </c>
      <c r="B635" s="6" t="s">
        <v>159</v>
      </c>
      <c r="C635" s="6" t="s">
        <v>161</v>
      </c>
      <c r="D635" s="7">
        <v>600.0</v>
      </c>
      <c r="E635" s="6" t="s">
        <v>12</v>
      </c>
      <c r="F635" s="11"/>
      <c r="G635" s="11"/>
      <c r="H635" s="6" t="s">
        <v>162</v>
      </c>
      <c r="I635" s="10" t="str">
        <f t="shared" si="1"/>
        <v>_2025_</v>
      </c>
      <c r="J635" s="10" t="str">
        <f t="shared" si="2"/>
        <v>_9_</v>
      </c>
    </row>
    <row r="636">
      <c r="A636" s="5">
        <v>45908.0</v>
      </c>
      <c r="B636" s="6" t="s">
        <v>20</v>
      </c>
      <c r="C636" s="6" t="s">
        <v>25</v>
      </c>
      <c r="D636" s="17">
        <f>80+40</f>
        <v>120</v>
      </c>
      <c r="E636" s="6" t="s">
        <v>12</v>
      </c>
      <c r="F636" s="11"/>
      <c r="G636" s="11"/>
      <c r="H636" s="6" t="s">
        <v>516</v>
      </c>
      <c r="I636" s="10" t="str">
        <f t="shared" si="1"/>
        <v>_2025_</v>
      </c>
      <c r="J636" s="10" t="str">
        <f t="shared" si="2"/>
        <v>_9_</v>
      </c>
    </row>
    <row r="637">
      <c r="A637" s="5">
        <v>45908.0</v>
      </c>
      <c r="B637" s="6" t="s">
        <v>20</v>
      </c>
      <c r="C637" s="6" t="s">
        <v>32</v>
      </c>
      <c r="D637" s="7">
        <v>124.0</v>
      </c>
      <c r="E637" s="6" t="s">
        <v>55</v>
      </c>
      <c r="F637" s="6" t="s">
        <v>18</v>
      </c>
      <c r="G637" s="6" t="s">
        <v>33</v>
      </c>
      <c r="H637" s="11"/>
      <c r="I637" s="10" t="str">
        <f t="shared" si="1"/>
        <v>_2025_</v>
      </c>
      <c r="J637" s="10" t="str">
        <f t="shared" si="2"/>
        <v>_9_</v>
      </c>
    </row>
    <row r="638">
      <c r="A638" s="5">
        <v>45908.0</v>
      </c>
      <c r="B638" s="6" t="s">
        <v>20</v>
      </c>
      <c r="C638" s="6" t="s">
        <v>31</v>
      </c>
      <c r="D638" s="7">
        <v>135.0</v>
      </c>
      <c r="E638" s="6" t="s">
        <v>12</v>
      </c>
      <c r="F638" s="11"/>
      <c r="G638" s="6" t="s">
        <v>47</v>
      </c>
      <c r="H638" s="11"/>
      <c r="I638" s="10" t="str">
        <f t="shared" si="1"/>
        <v>_2025_</v>
      </c>
      <c r="J638" s="10" t="str">
        <f t="shared" si="2"/>
        <v>_9_</v>
      </c>
    </row>
    <row r="639">
      <c r="A639" s="5">
        <v>45908.0</v>
      </c>
      <c r="B639" s="6" t="s">
        <v>15</v>
      </c>
      <c r="C639" s="6" t="s">
        <v>16</v>
      </c>
      <c r="D639" s="7">
        <v>750.0</v>
      </c>
      <c r="E639" s="6" t="s">
        <v>17</v>
      </c>
      <c r="F639" s="6" t="s">
        <v>18</v>
      </c>
      <c r="G639" s="6" t="s">
        <v>77</v>
      </c>
      <c r="H639" s="11"/>
      <c r="I639" s="10" t="str">
        <f t="shared" si="1"/>
        <v>_2025_</v>
      </c>
      <c r="J639" s="10" t="str">
        <f t="shared" si="2"/>
        <v>_9_</v>
      </c>
    </row>
    <row r="640">
      <c r="A640" s="5">
        <v>45901.0</v>
      </c>
      <c r="B640" s="6" t="s">
        <v>15</v>
      </c>
      <c r="C640" s="6" t="s">
        <v>16</v>
      </c>
      <c r="D640" s="7">
        <v>650.0</v>
      </c>
      <c r="E640" s="6" t="s">
        <v>17</v>
      </c>
      <c r="F640" s="6" t="s">
        <v>18</v>
      </c>
      <c r="G640" s="6" t="s">
        <v>19</v>
      </c>
      <c r="H640" s="11"/>
      <c r="I640" s="10" t="str">
        <f t="shared" si="1"/>
        <v>_2025_</v>
      </c>
      <c r="J640" s="10" t="str">
        <f t="shared" si="2"/>
        <v>_9_</v>
      </c>
    </row>
    <row r="641">
      <c r="A641" s="5">
        <v>45907.0</v>
      </c>
      <c r="B641" s="6" t="s">
        <v>20</v>
      </c>
      <c r="C641" s="6" t="s">
        <v>31</v>
      </c>
      <c r="D641" s="7">
        <v>63.0</v>
      </c>
      <c r="E641" s="6" t="s">
        <v>17</v>
      </c>
      <c r="F641" s="6" t="s">
        <v>18</v>
      </c>
      <c r="G641" s="11"/>
      <c r="H641" s="11"/>
      <c r="I641" s="10" t="str">
        <f t="shared" si="1"/>
        <v>_2025_</v>
      </c>
      <c r="J641" s="10" t="str">
        <f t="shared" si="2"/>
        <v>_9_</v>
      </c>
    </row>
    <row r="642">
      <c r="A642" s="5">
        <v>45909.0</v>
      </c>
      <c r="B642" s="6" t="s">
        <v>21</v>
      </c>
      <c r="C642" s="6" t="s">
        <v>21</v>
      </c>
      <c r="D642" s="7">
        <v>25.0</v>
      </c>
      <c r="E642" s="6" t="s">
        <v>12</v>
      </c>
      <c r="F642" s="11"/>
      <c r="G642" s="6" t="s">
        <v>517</v>
      </c>
      <c r="H642" s="6" t="s">
        <v>518</v>
      </c>
      <c r="I642" s="10" t="str">
        <f t="shared" si="1"/>
        <v>_2025_</v>
      </c>
      <c r="J642" s="10" t="str">
        <f t="shared" si="2"/>
        <v>_9_</v>
      </c>
    </row>
    <row r="643">
      <c r="A643" s="5">
        <v>45909.0</v>
      </c>
      <c r="B643" s="6" t="s">
        <v>20</v>
      </c>
      <c r="C643" s="6" t="s">
        <v>25</v>
      </c>
      <c r="D643" s="7">
        <v>121.0</v>
      </c>
      <c r="E643" s="6" t="s">
        <v>12</v>
      </c>
      <c r="F643" s="11"/>
      <c r="G643" s="6" t="s">
        <v>47</v>
      </c>
      <c r="H643" s="6" t="s">
        <v>519</v>
      </c>
      <c r="I643" s="10" t="str">
        <f t="shared" si="1"/>
        <v>_2025_</v>
      </c>
      <c r="J643" s="10" t="str">
        <f t="shared" si="2"/>
        <v>_9_</v>
      </c>
    </row>
    <row r="644">
      <c r="A644" s="5">
        <v>45910.0</v>
      </c>
      <c r="B644" s="6" t="s">
        <v>20</v>
      </c>
      <c r="C644" s="6" t="s">
        <v>32</v>
      </c>
      <c r="D644" s="7">
        <v>35.0</v>
      </c>
      <c r="E644" s="6" t="s">
        <v>12</v>
      </c>
      <c r="F644" s="11"/>
      <c r="G644" s="6" t="s">
        <v>47</v>
      </c>
      <c r="H644" s="6" t="s">
        <v>520</v>
      </c>
      <c r="I644" s="10" t="str">
        <f t="shared" si="1"/>
        <v>_2025_</v>
      </c>
      <c r="J644" s="10" t="str">
        <f t="shared" si="2"/>
        <v>_9_</v>
      </c>
    </row>
    <row r="645">
      <c r="A645" s="5">
        <v>45910.0</v>
      </c>
      <c r="B645" s="6" t="s">
        <v>20</v>
      </c>
      <c r="C645" s="6" t="s">
        <v>31</v>
      </c>
      <c r="D645" s="7">
        <v>67.0</v>
      </c>
      <c r="E645" s="6" t="s">
        <v>17</v>
      </c>
      <c r="F645" s="6" t="s">
        <v>18</v>
      </c>
      <c r="G645" s="6" t="s">
        <v>36</v>
      </c>
      <c r="H645" s="6" t="s">
        <v>469</v>
      </c>
      <c r="I645" s="10" t="str">
        <f t="shared" si="1"/>
        <v>_2025_</v>
      </c>
      <c r="J645" s="10" t="str">
        <f t="shared" si="2"/>
        <v>_9_</v>
      </c>
    </row>
    <row r="646">
      <c r="A646" s="5">
        <v>45910.0</v>
      </c>
      <c r="B646" s="6" t="s">
        <v>20</v>
      </c>
      <c r="C646" s="6" t="s">
        <v>35</v>
      </c>
      <c r="D646" s="7">
        <v>20.5</v>
      </c>
      <c r="E646" s="6" t="s">
        <v>12</v>
      </c>
      <c r="F646" s="11"/>
      <c r="G646" s="6" t="s">
        <v>36</v>
      </c>
      <c r="H646" s="6" t="s">
        <v>521</v>
      </c>
      <c r="I646" s="10" t="str">
        <f t="shared" si="1"/>
        <v>_2025_</v>
      </c>
      <c r="J646" s="10" t="str">
        <f t="shared" si="2"/>
        <v>_9_</v>
      </c>
    </row>
    <row r="647">
      <c r="A647" s="5">
        <v>45910.0</v>
      </c>
      <c r="B647" s="6" t="s">
        <v>20</v>
      </c>
      <c r="C647" s="6" t="s">
        <v>25</v>
      </c>
      <c r="D647" s="7">
        <v>50.0</v>
      </c>
      <c r="E647" s="6" t="s">
        <v>12</v>
      </c>
      <c r="F647" s="11"/>
      <c r="G647" s="6" t="s">
        <v>177</v>
      </c>
      <c r="H647" s="11"/>
      <c r="I647" s="10" t="str">
        <f t="shared" si="1"/>
        <v>_2025_</v>
      </c>
      <c r="J647" s="10" t="str">
        <f t="shared" si="2"/>
        <v>_9_</v>
      </c>
    </row>
    <row r="648">
      <c r="A648" s="5">
        <v>45910.0</v>
      </c>
      <c r="B648" s="6" t="s">
        <v>21</v>
      </c>
      <c r="C648" s="6" t="s">
        <v>21</v>
      </c>
      <c r="D648" s="7">
        <v>30.0</v>
      </c>
      <c r="E648" s="6" t="s">
        <v>12</v>
      </c>
      <c r="F648" s="11"/>
      <c r="G648" s="6" t="s">
        <v>517</v>
      </c>
      <c r="H648" s="6" t="s">
        <v>522</v>
      </c>
      <c r="I648" s="10" t="str">
        <f t="shared" si="1"/>
        <v>_2025_</v>
      </c>
      <c r="J648" s="10" t="str">
        <f t="shared" si="2"/>
        <v>_9_</v>
      </c>
    </row>
    <row r="649">
      <c r="A649" s="5">
        <v>45910.0</v>
      </c>
      <c r="B649" s="6" t="s">
        <v>27</v>
      </c>
      <c r="C649" s="6" t="s">
        <v>116</v>
      </c>
      <c r="D649" s="7">
        <f>43.93+626.11+322+124</f>
        <v>1116.04</v>
      </c>
      <c r="E649" s="6" t="s">
        <v>17</v>
      </c>
      <c r="F649" s="6" t="s">
        <v>18</v>
      </c>
      <c r="G649" s="11"/>
      <c r="H649" s="6" t="s">
        <v>523</v>
      </c>
      <c r="I649" s="10" t="str">
        <f t="shared" si="1"/>
        <v>_2025_</v>
      </c>
      <c r="J649" s="10" t="str">
        <f t="shared" si="2"/>
        <v>_9_</v>
      </c>
    </row>
    <row r="650">
      <c r="A650" s="5">
        <v>45911.0</v>
      </c>
      <c r="B650" s="6" t="s">
        <v>39</v>
      </c>
      <c r="C650" s="6" t="s">
        <v>114</v>
      </c>
      <c r="D650" s="7">
        <v>79.5</v>
      </c>
      <c r="E650" s="6" t="s">
        <v>17</v>
      </c>
      <c r="F650" s="6" t="s">
        <v>18</v>
      </c>
      <c r="G650" s="11"/>
      <c r="H650" s="6" t="s">
        <v>524</v>
      </c>
      <c r="I650" s="10" t="str">
        <f t="shared" si="1"/>
        <v>_2025_</v>
      </c>
      <c r="J650" s="10" t="str">
        <f t="shared" si="2"/>
        <v>_9_</v>
      </c>
    </row>
    <row r="651">
      <c r="A651" s="5">
        <v>45911.0</v>
      </c>
      <c r="B651" s="6" t="s">
        <v>20</v>
      </c>
      <c r="C651" s="6" t="s">
        <v>25</v>
      </c>
      <c r="D651" s="7">
        <v>65.0</v>
      </c>
      <c r="E651" s="6" t="s">
        <v>12</v>
      </c>
      <c r="F651" s="11"/>
      <c r="G651" s="6" t="s">
        <v>82</v>
      </c>
      <c r="H651" s="11"/>
      <c r="I651" s="10" t="str">
        <f t="shared" si="1"/>
        <v>_2025_</v>
      </c>
      <c r="J651" s="10" t="str">
        <f t="shared" si="2"/>
        <v>_9_</v>
      </c>
    </row>
    <row r="652">
      <c r="A652" s="5">
        <v>45911.0</v>
      </c>
      <c r="B652" s="6" t="s">
        <v>21</v>
      </c>
      <c r="C652" s="6" t="s">
        <v>21</v>
      </c>
      <c r="D652" s="7">
        <v>19.0</v>
      </c>
      <c r="E652" s="6" t="s">
        <v>12</v>
      </c>
      <c r="F652" s="11"/>
      <c r="G652" s="11"/>
      <c r="H652" s="6" t="s">
        <v>525</v>
      </c>
      <c r="I652" s="10" t="str">
        <f t="shared" si="1"/>
        <v>_2025_</v>
      </c>
      <c r="J652" s="10" t="str">
        <f t="shared" si="2"/>
        <v>_9_</v>
      </c>
    </row>
    <row r="653">
      <c r="A653" s="5">
        <v>45911.0</v>
      </c>
      <c r="B653" s="6" t="s">
        <v>20</v>
      </c>
      <c r="C653" s="6" t="s">
        <v>31</v>
      </c>
      <c r="D653" s="7">
        <f>134-88</f>
        <v>46</v>
      </c>
      <c r="E653" s="6" t="s">
        <v>12</v>
      </c>
      <c r="F653" s="11"/>
      <c r="G653" s="6" t="s">
        <v>327</v>
      </c>
      <c r="H653" s="6" t="s">
        <v>48</v>
      </c>
      <c r="I653" s="10" t="str">
        <f t="shared" si="1"/>
        <v>_2025_</v>
      </c>
      <c r="J653" s="10" t="str">
        <f t="shared" si="2"/>
        <v>_9_</v>
      </c>
    </row>
    <row r="654">
      <c r="A654" s="5">
        <v>45911.0</v>
      </c>
      <c r="B654" s="6" t="s">
        <v>20</v>
      </c>
      <c r="C654" s="6" t="s">
        <v>32</v>
      </c>
      <c r="D654" s="17">
        <f>134-30-16</f>
        <v>88</v>
      </c>
      <c r="E654" s="6" t="s">
        <v>12</v>
      </c>
      <c r="F654" s="11"/>
      <c r="G654" s="6" t="s">
        <v>327</v>
      </c>
      <c r="H654" s="6" t="s">
        <v>526</v>
      </c>
      <c r="I654" s="10" t="str">
        <f t="shared" si="1"/>
        <v>_2025_</v>
      </c>
      <c r="J654" s="10" t="str">
        <f t="shared" si="2"/>
        <v>_9_</v>
      </c>
    </row>
    <row r="655">
      <c r="A655" s="5">
        <v>45912.0</v>
      </c>
      <c r="B655" s="6" t="s">
        <v>20</v>
      </c>
      <c r="C655" s="6" t="s">
        <v>25</v>
      </c>
      <c r="D655" s="7">
        <v>65.0</v>
      </c>
      <c r="E655" s="6" t="s">
        <v>12</v>
      </c>
      <c r="F655" s="11"/>
      <c r="G655" s="6" t="s">
        <v>82</v>
      </c>
      <c r="H655" s="11"/>
      <c r="I655" s="10" t="str">
        <f t="shared" si="1"/>
        <v>_2025_</v>
      </c>
      <c r="J655" s="10" t="str">
        <f t="shared" si="2"/>
        <v>_9_</v>
      </c>
    </row>
    <row r="656">
      <c r="A656" s="5">
        <v>45912.0</v>
      </c>
      <c r="B656" s="6" t="s">
        <v>39</v>
      </c>
      <c r="C656" s="6" t="s">
        <v>114</v>
      </c>
      <c r="D656" s="7">
        <v>90.0</v>
      </c>
      <c r="E656" s="6" t="s">
        <v>12</v>
      </c>
      <c r="F656" s="11"/>
      <c r="G656" s="11"/>
      <c r="H656" s="6" t="s">
        <v>527</v>
      </c>
      <c r="I656" s="10" t="str">
        <f t="shared" si="1"/>
        <v>_2025_</v>
      </c>
      <c r="J656" s="10" t="str">
        <f t="shared" si="2"/>
        <v>_9_</v>
      </c>
    </row>
    <row r="657">
      <c r="A657" s="5">
        <v>45912.0</v>
      </c>
      <c r="B657" s="6" t="s">
        <v>20</v>
      </c>
      <c r="C657" s="6" t="s">
        <v>25</v>
      </c>
      <c r="D657" s="7">
        <v>50.0</v>
      </c>
      <c r="E657" s="6" t="s">
        <v>12</v>
      </c>
      <c r="F657" s="11"/>
      <c r="G657" s="6" t="s">
        <v>177</v>
      </c>
      <c r="H657" s="11"/>
      <c r="I657" s="10" t="str">
        <f t="shared" si="1"/>
        <v>_2025_</v>
      </c>
      <c r="J657" s="10" t="str">
        <f t="shared" si="2"/>
        <v>_9_</v>
      </c>
    </row>
    <row r="658">
      <c r="A658" s="5">
        <v>45912.0</v>
      </c>
      <c r="B658" s="6" t="s">
        <v>20</v>
      </c>
      <c r="C658" s="6" t="s">
        <v>32</v>
      </c>
      <c r="D658" s="7">
        <v>12.0</v>
      </c>
      <c r="E658" s="6" t="s">
        <v>12</v>
      </c>
      <c r="F658" s="11"/>
      <c r="G658" s="6" t="s">
        <v>327</v>
      </c>
      <c r="H658" s="6" t="s">
        <v>528</v>
      </c>
      <c r="I658" s="10" t="str">
        <f t="shared" si="1"/>
        <v>_2025_</v>
      </c>
      <c r="J658" s="10" t="str">
        <f t="shared" si="2"/>
        <v>_9_</v>
      </c>
    </row>
    <row r="659">
      <c r="A659" s="5">
        <v>45912.0</v>
      </c>
      <c r="B659" s="6" t="s">
        <v>42</v>
      </c>
      <c r="C659" s="6" t="s">
        <v>46</v>
      </c>
      <c r="D659" s="7">
        <v>200.0</v>
      </c>
      <c r="E659" s="6" t="s">
        <v>12</v>
      </c>
      <c r="F659" s="11"/>
      <c r="G659" s="11"/>
      <c r="H659" s="11"/>
      <c r="I659" s="10" t="str">
        <f t="shared" si="1"/>
        <v>_2025_</v>
      </c>
      <c r="J659" s="10" t="str">
        <f t="shared" si="2"/>
        <v>_9_</v>
      </c>
    </row>
    <row r="660">
      <c r="A660" s="5">
        <v>45913.0</v>
      </c>
      <c r="B660" s="6" t="s">
        <v>42</v>
      </c>
      <c r="C660" s="6" t="s">
        <v>43</v>
      </c>
      <c r="D660" s="17">
        <f>359-65-65-65-64-64</f>
        <v>36</v>
      </c>
      <c r="E660" s="6" t="s">
        <v>55</v>
      </c>
      <c r="F660" s="6" t="s">
        <v>334</v>
      </c>
      <c r="G660" s="6" t="s">
        <v>195</v>
      </c>
      <c r="H660" s="11"/>
      <c r="I660" s="10" t="str">
        <f t="shared" si="1"/>
        <v>_2025_</v>
      </c>
      <c r="J660" s="10" t="str">
        <f t="shared" si="2"/>
        <v>_9_</v>
      </c>
    </row>
    <row r="661">
      <c r="A661" s="5">
        <v>45913.0</v>
      </c>
      <c r="B661" s="6" t="s">
        <v>20</v>
      </c>
      <c r="C661" s="6" t="s">
        <v>32</v>
      </c>
      <c r="D661" s="17">
        <f>70+20</f>
        <v>90</v>
      </c>
      <c r="E661" s="6" t="s">
        <v>12</v>
      </c>
      <c r="F661" s="11"/>
      <c r="G661" s="11"/>
      <c r="H661" s="6" t="s">
        <v>529</v>
      </c>
      <c r="I661" s="10" t="str">
        <f t="shared" si="1"/>
        <v>_2025_</v>
      </c>
      <c r="J661" s="10" t="str">
        <f t="shared" si="2"/>
        <v>_9_</v>
      </c>
    </row>
    <row r="662">
      <c r="A662" s="5">
        <v>45913.0</v>
      </c>
      <c r="B662" s="6" t="s">
        <v>20</v>
      </c>
      <c r="C662" s="6" t="s">
        <v>32</v>
      </c>
      <c r="D662" s="7">
        <v>70.0</v>
      </c>
      <c r="E662" s="6" t="s">
        <v>12</v>
      </c>
      <c r="F662" s="11"/>
      <c r="G662" s="11"/>
      <c r="H662" s="6" t="s">
        <v>530</v>
      </c>
      <c r="I662" s="10" t="str">
        <f t="shared" si="1"/>
        <v>_2025_</v>
      </c>
      <c r="J662" s="10" t="str">
        <f t="shared" si="2"/>
        <v>_9_</v>
      </c>
    </row>
    <row r="663">
      <c r="A663" s="5">
        <v>45913.0</v>
      </c>
      <c r="B663" s="6" t="s">
        <v>62</v>
      </c>
      <c r="C663" s="6" t="s">
        <v>63</v>
      </c>
      <c r="D663" s="7">
        <v>2591.74</v>
      </c>
      <c r="E663" s="6" t="s">
        <v>12</v>
      </c>
      <c r="F663" s="11"/>
      <c r="G663" s="11"/>
      <c r="H663" s="6" t="s">
        <v>64</v>
      </c>
      <c r="I663" s="10" t="str">
        <f t="shared" si="1"/>
        <v>_2025_</v>
      </c>
      <c r="J663" s="10" t="str">
        <f t="shared" si="2"/>
        <v>_9_</v>
      </c>
    </row>
    <row r="664">
      <c r="A664" s="5">
        <v>45914.0</v>
      </c>
      <c r="B664" s="6" t="s">
        <v>20</v>
      </c>
      <c r="C664" s="6" t="s">
        <v>35</v>
      </c>
      <c r="D664" s="7">
        <f>170+20</f>
        <v>190</v>
      </c>
      <c r="E664" s="6" t="s">
        <v>12</v>
      </c>
      <c r="F664" s="11"/>
      <c r="G664" s="11"/>
      <c r="H664" s="6" t="s">
        <v>531</v>
      </c>
      <c r="I664" s="10" t="str">
        <f t="shared" si="1"/>
        <v>_2025_</v>
      </c>
      <c r="J664" s="10" t="str">
        <f t="shared" si="2"/>
        <v>_9_</v>
      </c>
    </row>
    <row r="665">
      <c r="A665" s="5">
        <v>45914.0</v>
      </c>
      <c r="B665" s="6" t="s">
        <v>15</v>
      </c>
      <c r="C665" s="6" t="s">
        <v>16</v>
      </c>
      <c r="D665" s="7">
        <v>650.0</v>
      </c>
      <c r="E665" s="6" t="s">
        <v>17</v>
      </c>
      <c r="F665" s="6" t="s">
        <v>18</v>
      </c>
      <c r="G665" s="6" t="s">
        <v>19</v>
      </c>
      <c r="H665" s="11"/>
      <c r="I665" s="10" t="str">
        <f t="shared" si="1"/>
        <v>_2025_</v>
      </c>
      <c r="J665" s="10" t="str">
        <f t="shared" si="2"/>
        <v>_9_</v>
      </c>
    </row>
    <row r="666">
      <c r="A666" s="5">
        <v>45914.0</v>
      </c>
      <c r="B666" s="6" t="s">
        <v>39</v>
      </c>
      <c r="C666" s="6" t="s">
        <v>532</v>
      </c>
      <c r="D666" s="7">
        <v>107.0</v>
      </c>
      <c r="E666" s="6" t="s">
        <v>17</v>
      </c>
      <c r="F666" s="6" t="s">
        <v>18</v>
      </c>
      <c r="G666" s="11"/>
      <c r="H666" s="6" t="s">
        <v>533</v>
      </c>
      <c r="I666" s="10" t="str">
        <f t="shared" si="1"/>
        <v>_2025_</v>
      </c>
      <c r="J666" s="10" t="str">
        <f t="shared" si="2"/>
        <v>_9_</v>
      </c>
    </row>
    <row r="667">
      <c r="A667" s="5">
        <v>45914.0</v>
      </c>
      <c r="B667" s="6" t="s">
        <v>20</v>
      </c>
      <c r="C667" s="6" t="s">
        <v>32</v>
      </c>
      <c r="D667" s="7">
        <v>60.0</v>
      </c>
      <c r="E667" s="6" t="s">
        <v>55</v>
      </c>
      <c r="F667" s="6" t="s">
        <v>334</v>
      </c>
      <c r="G667" s="6" t="s">
        <v>33</v>
      </c>
      <c r="H667" s="11"/>
      <c r="I667" s="10" t="str">
        <f t="shared" si="1"/>
        <v>_2025_</v>
      </c>
      <c r="J667" s="10" t="str">
        <f t="shared" si="2"/>
        <v>_9_</v>
      </c>
    </row>
    <row r="668">
      <c r="A668" s="5">
        <v>45915.0</v>
      </c>
      <c r="B668" s="6" t="s">
        <v>20</v>
      </c>
      <c r="C668" s="6" t="s">
        <v>31</v>
      </c>
      <c r="D668" s="7">
        <f>15+40</f>
        <v>55</v>
      </c>
      <c r="E668" s="6" t="s">
        <v>12</v>
      </c>
      <c r="F668" s="11"/>
      <c r="G668" s="11"/>
      <c r="H668" s="6" t="s">
        <v>534</v>
      </c>
      <c r="I668" s="10" t="str">
        <f t="shared" si="1"/>
        <v>_2025_</v>
      </c>
      <c r="J668" s="10" t="str">
        <f t="shared" si="2"/>
        <v>_9_</v>
      </c>
    </row>
    <row r="669">
      <c r="A669" s="5">
        <v>45916.0</v>
      </c>
      <c r="B669" s="6" t="s">
        <v>15</v>
      </c>
      <c r="C669" s="6" t="s">
        <v>249</v>
      </c>
      <c r="D669" s="7">
        <v>30.0</v>
      </c>
      <c r="E669" s="6" t="s">
        <v>12</v>
      </c>
      <c r="F669" s="11"/>
      <c r="G669" s="11"/>
      <c r="H669" s="6" t="s">
        <v>415</v>
      </c>
      <c r="I669" s="10" t="str">
        <f t="shared" si="1"/>
        <v>_2025_</v>
      </c>
      <c r="J669" s="10" t="str">
        <f t="shared" si="2"/>
        <v>_9_</v>
      </c>
    </row>
    <row r="670">
      <c r="A670" s="5">
        <v>45916.0</v>
      </c>
      <c r="B670" s="6" t="s">
        <v>20</v>
      </c>
      <c r="C670" s="6" t="s">
        <v>25</v>
      </c>
      <c r="D670" s="7">
        <v>79.0</v>
      </c>
      <c r="E670" s="6" t="s">
        <v>12</v>
      </c>
      <c r="F670" s="11"/>
      <c r="G670" s="6" t="s">
        <v>82</v>
      </c>
      <c r="H670" s="6" t="s">
        <v>332</v>
      </c>
      <c r="I670" s="10" t="str">
        <f t="shared" si="1"/>
        <v>_2025_</v>
      </c>
      <c r="J670" s="10" t="str">
        <f t="shared" si="2"/>
        <v>_9_</v>
      </c>
    </row>
    <row r="671">
      <c r="A671" s="5">
        <v>45914.0</v>
      </c>
      <c r="B671" s="6" t="s">
        <v>20</v>
      </c>
      <c r="C671" s="6" t="s">
        <v>32</v>
      </c>
      <c r="D671" s="7">
        <v>108.0</v>
      </c>
      <c r="E671" s="6" t="s">
        <v>12</v>
      </c>
      <c r="F671" s="11"/>
      <c r="G671" s="6" t="s">
        <v>47</v>
      </c>
      <c r="H671" s="6" t="s">
        <v>535</v>
      </c>
      <c r="I671" s="10" t="str">
        <f t="shared" si="1"/>
        <v>_2025_</v>
      </c>
      <c r="J671" s="10" t="str">
        <f t="shared" si="2"/>
        <v>_9_</v>
      </c>
    </row>
    <row r="672">
      <c r="A672" s="5">
        <v>45915.0</v>
      </c>
      <c r="B672" s="6" t="s">
        <v>20</v>
      </c>
      <c r="C672" s="6" t="s">
        <v>31</v>
      </c>
      <c r="D672" s="7">
        <v>77.0</v>
      </c>
      <c r="E672" s="6" t="s">
        <v>12</v>
      </c>
      <c r="F672" s="11"/>
      <c r="G672" s="6" t="s">
        <v>47</v>
      </c>
      <c r="H672" s="6" t="s">
        <v>536</v>
      </c>
      <c r="I672" s="10" t="str">
        <f t="shared" si="1"/>
        <v>_2025_</v>
      </c>
      <c r="J672" s="10" t="str">
        <f t="shared" si="2"/>
        <v>_9_</v>
      </c>
    </row>
    <row r="673">
      <c r="A673" s="5">
        <v>45916.0</v>
      </c>
      <c r="B673" s="6" t="s">
        <v>20</v>
      </c>
      <c r="C673" s="6" t="s">
        <v>32</v>
      </c>
      <c r="D673" s="7">
        <v>35.0</v>
      </c>
      <c r="E673" s="6" t="s">
        <v>12</v>
      </c>
      <c r="F673" s="11"/>
      <c r="G673" s="6" t="s">
        <v>47</v>
      </c>
      <c r="H673" s="6" t="s">
        <v>520</v>
      </c>
      <c r="I673" s="10" t="str">
        <f t="shared" si="1"/>
        <v>_2025_</v>
      </c>
      <c r="J673" s="10" t="str">
        <f t="shared" si="2"/>
        <v>_9_</v>
      </c>
    </row>
    <row r="674">
      <c r="A674" s="5">
        <v>45917.0</v>
      </c>
      <c r="B674" s="6" t="s">
        <v>20</v>
      </c>
      <c r="C674" s="6" t="s">
        <v>25</v>
      </c>
      <c r="D674" s="7">
        <v>196.0</v>
      </c>
      <c r="E674" s="6" t="s">
        <v>17</v>
      </c>
      <c r="F674" s="6" t="s">
        <v>18</v>
      </c>
      <c r="G674" s="11"/>
      <c r="H674" s="11"/>
      <c r="I674" s="10" t="str">
        <f t="shared" si="1"/>
        <v>_2025_</v>
      </c>
      <c r="J674" s="10" t="str">
        <f t="shared" si="2"/>
        <v>_9_</v>
      </c>
    </row>
    <row r="675">
      <c r="A675" s="5">
        <v>45918.0</v>
      </c>
      <c r="B675" s="6" t="s">
        <v>20</v>
      </c>
      <c r="C675" s="6" t="s">
        <v>25</v>
      </c>
      <c r="D675" s="7">
        <v>296.39</v>
      </c>
      <c r="E675" s="6" t="s">
        <v>12</v>
      </c>
      <c r="F675" s="11"/>
      <c r="G675" s="6" t="s">
        <v>306</v>
      </c>
      <c r="H675" s="11"/>
      <c r="I675" s="10" t="str">
        <f t="shared" si="1"/>
        <v>_2025_</v>
      </c>
      <c r="J675" s="10" t="str">
        <f t="shared" si="2"/>
        <v>_9_</v>
      </c>
    </row>
    <row r="676">
      <c r="A676" s="5">
        <v>45919.0</v>
      </c>
      <c r="B676" s="6" t="s">
        <v>20</v>
      </c>
      <c r="C676" s="6" t="s">
        <v>31</v>
      </c>
      <c r="D676" s="7">
        <v>59.0</v>
      </c>
      <c r="E676" s="6" t="s">
        <v>17</v>
      </c>
      <c r="F676" s="6" t="s">
        <v>18</v>
      </c>
      <c r="G676" s="6" t="s">
        <v>30</v>
      </c>
      <c r="H676" s="11"/>
      <c r="I676" s="10" t="str">
        <f t="shared" si="1"/>
        <v>_2025_</v>
      </c>
      <c r="J676" s="10" t="str">
        <f t="shared" si="2"/>
        <v>_9_</v>
      </c>
    </row>
    <row r="677">
      <c r="A677" s="5">
        <v>45919.0</v>
      </c>
      <c r="B677" s="6" t="s">
        <v>20</v>
      </c>
      <c r="C677" s="6" t="s">
        <v>25</v>
      </c>
      <c r="D677" s="7">
        <v>180.0</v>
      </c>
      <c r="E677" s="6" t="s">
        <v>55</v>
      </c>
      <c r="F677" s="6" t="s">
        <v>334</v>
      </c>
      <c r="G677" s="6" t="s">
        <v>26</v>
      </c>
      <c r="H677" s="11"/>
      <c r="I677" s="10" t="str">
        <f t="shared" si="1"/>
        <v>_2025_</v>
      </c>
      <c r="J677" s="10" t="str">
        <f t="shared" si="2"/>
        <v>_9_</v>
      </c>
    </row>
    <row r="678">
      <c r="A678" s="5">
        <v>45919.0</v>
      </c>
      <c r="B678" s="6" t="s">
        <v>15</v>
      </c>
      <c r="C678" s="6" t="s">
        <v>75</v>
      </c>
      <c r="D678" s="7">
        <v>30.0</v>
      </c>
      <c r="E678" s="6" t="s">
        <v>12</v>
      </c>
      <c r="F678" s="11"/>
      <c r="G678" s="11"/>
      <c r="H678" s="6" t="s">
        <v>415</v>
      </c>
      <c r="I678" s="10" t="str">
        <f t="shared" si="1"/>
        <v>_2025_</v>
      </c>
      <c r="J678" s="10" t="str">
        <f t="shared" si="2"/>
        <v>_9_</v>
      </c>
    </row>
    <row r="679">
      <c r="A679" s="5">
        <v>45920.0</v>
      </c>
      <c r="B679" s="6" t="s">
        <v>20</v>
      </c>
      <c r="C679" s="6" t="s">
        <v>25</v>
      </c>
      <c r="D679" s="7">
        <v>130.0</v>
      </c>
      <c r="E679" s="6" t="s">
        <v>12</v>
      </c>
      <c r="F679" s="11"/>
      <c r="G679" s="11"/>
      <c r="H679" s="6" t="s">
        <v>537</v>
      </c>
      <c r="I679" s="10" t="str">
        <f t="shared" si="1"/>
        <v>_2025_</v>
      </c>
      <c r="J679" s="10" t="str">
        <f t="shared" si="2"/>
        <v>_9_</v>
      </c>
    </row>
    <row r="680">
      <c r="A680" s="5">
        <v>45920.0</v>
      </c>
      <c r="B680" s="6" t="s">
        <v>20</v>
      </c>
      <c r="C680" s="6" t="s">
        <v>32</v>
      </c>
      <c r="D680" s="7">
        <v>50.0</v>
      </c>
      <c r="E680" s="6" t="s">
        <v>12</v>
      </c>
      <c r="F680" s="11"/>
      <c r="G680" s="11"/>
      <c r="H680" s="6" t="s">
        <v>538</v>
      </c>
      <c r="I680" s="10" t="str">
        <f t="shared" si="1"/>
        <v>_2025_</v>
      </c>
      <c r="J680" s="10" t="str">
        <f t="shared" si="2"/>
        <v>_9_</v>
      </c>
    </row>
    <row r="681">
      <c r="A681" s="5">
        <v>45920.0</v>
      </c>
      <c r="B681" s="6" t="s">
        <v>20</v>
      </c>
      <c r="C681" s="6" t="s">
        <v>25</v>
      </c>
      <c r="D681" s="7">
        <f>50+20</f>
        <v>70</v>
      </c>
      <c r="E681" s="6" t="s">
        <v>12</v>
      </c>
      <c r="F681" s="11"/>
      <c r="G681" s="6" t="s">
        <v>177</v>
      </c>
      <c r="H681" s="11"/>
      <c r="I681" s="10" t="str">
        <f t="shared" si="1"/>
        <v>_2025_</v>
      </c>
      <c r="J681" s="10" t="str">
        <f t="shared" si="2"/>
        <v>_9_</v>
      </c>
    </row>
    <row r="682">
      <c r="A682" s="5">
        <v>45920.0</v>
      </c>
      <c r="B682" s="6" t="s">
        <v>27</v>
      </c>
      <c r="C682" s="6" t="s">
        <v>116</v>
      </c>
      <c r="D682" s="17">
        <f>580+58</f>
        <v>638</v>
      </c>
      <c r="E682" s="6" t="s">
        <v>17</v>
      </c>
      <c r="F682" s="6" t="s">
        <v>18</v>
      </c>
      <c r="G682" s="11"/>
      <c r="H682" s="6" t="s">
        <v>539</v>
      </c>
      <c r="I682" s="10" t="str">
        <f t="shared" si="1"/>
        <v>_2025_</v>
      </c>
      <c r="J682" s="10" t="str">
        <f t="shared" si="2"/>
        <v>_9_</v>
      </c>
    </row>
    <row r="683">
      <c r="A683" s="5">
        <v>45920.0</v>
      </c>
      <c r="B683" s="6" t="s">
        <v>20</v>
      </c>
      <c r="C683" s="6" t="s">
        <v>31</v>
      </c>
      <c r="D683" s="17">
        <f>57+93</f>
        <v>150</v>
      </c>
      <c r="E683" s="6" t="s">
        <v>12</v>
      </c>
      <c r="F683" s="11"/>
      <c r="G683" s="6" t="s">
        <v>47</v>
      </c>
      <c r="H683" s="11"/>
      <c r="I683" s="10" t="str">
        <f t="shared" si="1"/>
        <v>_2025_</v>
      </c>
      <c r="J683" s="10" t="str">
        <f t="shared" si="2"/>
        <v>_9_</v>
      </c>
    </row>
    <row r="684">
      <c r="A684" s="5">
        <v>45921.0</v>
      </c>
      <c r="B684" s="6" t="s">
        <v>20</v>
      </c>
      <c r="C684" s="6" t="s">
        <v>31</v>
      </c>
      <c r="D684" s="7">
        <v>55.0</v>
      </c>
      <c r="E684" s="6" t="s">
        <v>12</v>
      </c>
      <c r="F684" s="11"/>
      <c r="G684" s="11"/>
      <c r="H684" s="6" t="s">
        <v>302</v>
      </c>
      <c r="I684" s="10" t="str">
        <f t="shared" si="1"/>
        <v>_2025_</v>
      </c>
      <c r="J684" s="10" t="str">
        <f t="shared" si="2"/>
        <v>_9_</v>
      </c>
    </row>
    <row r="685">
      <c r="A685" s="5">
        <v>45921.0</v>
      </c>
      <c r="B685" s="6" t="s">
        <v>20</v>
      </c>
      <c r="C685" s="6" t="s">
        <v>32</v>
      </c>
      <c r="D685" s="7">
        <v>50.0</v>
      </c>
      <c r="E685" s="6" t="s">
        <v>12</v>
      </c>
      <c r="F685" s="11"/>
      <c r="G685" s="11"/>
      <c r="H685" s="6" t="s">
        <v>381</v>
      </c>
      <c r="I685" s="10" t="str">
        <f t="shared" si="1"/>
        <v>_2025_</v>
      </c>
      <c r="J685" s="10" t="str">
        <f t="shared" si="2"/>
        <v>_9_</v>
      </c>
    </row>
    <row r="686">
      <c r="A686" s="5">
        <v>45921.0</v>
      </c>
      <c r="B686" s="6" t="s">
        <v>20</v>
      </c>
      <c r="C686" s="6" t="s">
        <v>35</v>
      </c>
      <c r="D686" s="7">
        <v>289.75</v>
      </c>
      <c r="E686" s="6" t="s">
        <v>17</v>
      </c>
      <c r="F686" s="6" t="s">
        <v>18</v>
      </c>
      <c r="G686" s="6" t="s">
        <v>36</v>
      </c>
      <c r="H686" s="6" t="s">
        <v>540</v>
      </c>
      <c r="I686" s="10" t="str">
        <f t="shared" si="1"/>
        <v>_2025_</v>
      </c>
      <c r="J686" s="10" t="str">
        <f t="shared" si="2"/>
        <v>_9_</v>
      </c>
    </row>
    <row r="687">
      <c r="A687" s="5">
        <v>45921.0</v>
      </c>
      <c r="B687" s="6" t="s">
        <v>20</v>
      </c>
      <c r="C687" s="6" t="s">
        <v>25</v>
      </c>
      <c r="D687" s="7">
        <v>305.0</v>
      </c>
      <c r="E687" s="6" t="s">
        <v>17</v>
      </c>
      <c r="F687" s="6" t="s">
        <v>18</v>
      </c>
      <c r="G687" s="6" t="s">
        <v>360</v>
      </c>
      <c r="H687" s="11"/>
      <c r="I687" s="10" t="str">
        <f t="shared" si="1"/>
        <v>_2025_</v>
      </c>
      <c r="J687" s="10" t="str">
        <f t="shared" si="2"/>
        <v>_9_</v>
      </c>
    </row>
    <row r="688">
      <c r="A688" s="5">
        <v>45922.0</v>
      </c>
      <c r="B688" s="6" t="s">
        <v>20</v>
      </c>
      <c r="C688" s="6" t="s">
        <v>25</v>
      </c>
      <c r="D688" s="7">
        <v>150.0</v>
      </c>
      <c r="E688" s="6" t="s">
        <v>12</v>
      </c>
      <c r="F688" s="11"/>
      <c r="G688" s="11"/>
      <c r="H688" s="6" t="s">
        <v>255</v>
      </c>
      <c r="I688" s="10" t="str">
        <f t="shared" si="1"/>
        <v>_2025_</v>
      </c>
      <c r="J688" s="10" t="str">
        <f t="shared" si="2"/>
        <v>_9_</v>
      </c>
    </row>
    <row r="689">
      <c r="A689" s="5">
        <v>45922.0</v>
      </c>
      <c r="B689" s="6" t="s">
        <v>20</v>
      </c>
      <c r="C689" s="6" t="s">
        <v>25</v>
      </c>
      <c r="D689" s="7">
        <f>104+65</f>
        <v>169</v>
      </c>
      <c r="E689" s="6" t="s">
        <v>12</v>
      </c>
      <c r="F689" s="11"/>
      <c r="G689" s="6" t="s">
        <v>47</v>
      </c>
      <c r="H689" s="6" t="s">
        <v>541</v>
      </c>
      <c r="I689" s="10" t="str">
        <f t="shared" si="1"/>
        <v>_2025_</v>
      </c>
      <c r="J689" s="10" t="str">
        <f t="shared" si="2"/>
        <v>_9_</v>
      </c>
    </row>
    <row r="690">
      <c r="A690" s="5">
        <v>45923.0</v>
      </c>
      <c r="B690" s="6" t="s">
        <v>20</v>
      </c>
      <c r="C690" s="6" t="s">
        <v>25</v>
      </c>
      <c r="D690" s="7">
        <v>150.0</v>
      </c>
      <c r="E690" s="6" t="s">
        <v>12</v>
      </c>
      <c r="F690" s="11"/>
      <c r="G690" s="11"/>
      <c r="H690" s="6" t="s">
        <v>542</v>
      </c>
      <c r="I690" s="10" t="str">
        <f t="shared" si="1"/>
        <v>_2025_</v>
      </c>
      <c r="J690" s="10" t="str">
        <f t="shared" si="2"/>
        <v>_9_</v>
      </c>
    </row>
    <row r="691">
      <c r="A691" s="5">
        <v>45923.0</v>
      </c>
      <c r="B691" s="6" t="s">
        <v>62</v>
      </c>
      <c r="C691" s="6" t="s">
        <v>86</v>
      </c>
      <c r="D691" s="7">
        <v>193.35</v>
      </c>
      <c r="E691" s="6" t="s">
        <v>12</v>
      </c>
      <c r="F691" s="11"/>
      <c r="G691" s="11"/>
      <c r="H691" s="11"/>
      <c r="I691" s="10" t="str">
        <f t="shared" si="1"/>
        <v>_2025_</v>
      </c>
      <c r="J691" s="10" t="str">
        <f t="shared" si="2"/>
        <v>_9_</v>
      </c>
    </row>
    <row r="692">
      <c r="A692" s="5">
        <v>45923.0</v>
      </c>
      <c r="B692" s="6" t="s">
        <v>62</v>
      </c>
      <c r="C692" s="6" t="s">
        <v>140</v>
      </c>
      <c r="D692" s="7">
        <v>26.34</v>
      </c>
      <c r="E692" s="6" t="s">
        <v>12</v>
      </c>
      <c r="F692" s="11"/>
      <c r="G692" s="11"/>
      <c r="H692" s="11"/>
      <c r="I692" s="10" t="str">
        <f t="shared" si="1"/>
        <v>_2025_</v>
      </c>
      <c r="J692" s="10" t="str">
        <f t="shared" si="2"/>
        <v>_9_</v>
      </c>
    </row>
    <row r="693">
      <c r="A693" s="5">
        <v>45924.0</v>
      </c>
      <c r="B693" s="6" t="s">
        <v>20</v>
      </c>
      <c r="C693" s="6" t="s">
        <v>25</v>
      </c>
      <c r="D693" s="17">
        <f>50+69+10</f>
        <v>129</v>
      </c>
      <c r="E693" s="6" t="s">
        <v>12</v>
      </c>
      <c r="F693" s="11"/>
      <c r="G693" s="6" t="s">
        <v>36</v>
      </c>
      <c r="H693" s="6" t="s">
        <v>543</v>
      </c>
      <c r="I693" s="10" t="str">
        <f t="shared" si="1"/>
        <v>_2025_</v>
      </c>
      <c r="J693" s="10" t="str">
        <f t="shared" si="2"/>
        <v>_9_</v>
      </c>
    </row>
    <row r="694">
      <c r="A694" s="5">
        <v>45925.0</v>
      </c>
      <c r="B694" s="6" t="s">
        <v>20</v>
      </c>
      <c r="C694" s="6" t="s">
        <v>25</v>
      </c>
      <c r="D694" s="7">
        <v>259.0</v>
      </c>
      <c r="E694" s="6" t="s">
        <v>55</v>
      </c>
      <c r="F694" s="6" t="s">
        <v>334</v>
      </c>
      <c r="G694" s="6" t="s">
        <v>30</v>
      </c>
      <c r="H694" s="11"/>
      <c r="I694" s="10" t="str">
        <f t="shared" si="1"/>
        <v>_2025_</v>
      </c>
      <c r="J694" s="10" t="str">
        <f t="shared" si="2"/>
        <v>_9_</v>
      </c>
    </row>
    <row r="695">
      <c r="A695" s="5">
        <v>45924.0</v>
      </c>
      <c r="B695" s="6" t="s">
        <v>20</v>
      </c>
      <c r="C695" s="6" t="s">
        <v>35</v>
      </c>
      <c r="D695" s="7">
        <v>173.82</v>
      </c>
      <c r="E695" s="6" t="s">
        <v>17</v>
      </c>
      <c r="F695" s="6" t="s">
        <v>18</v>
      </c>
      <c r="G695" s="11"/>
      <c r="H695" s="6" t="s">
        <v>231</v>
      </c>
      <c r="I695" s="10" t="str">
        <f t="shared" si="1"/>
        <v>_2025_</v>
      </c>
      <c r="J695" s="10" t="str">
        <f t="shared" si="2"/>
        <v>_9_</v>
      </c>
    </row>
    <row r="696">
      <c r="A696" s="5">
        <v>45924.0</v>
      </c>
      <c r="B696" s="6" t="s">
        <v>39</v>
      </c>
      <c r="C696" s="6" t="s">
        <v>544</v>
      </c>
      <c r="D696" s="7">
        <v>363.0</v>
      </c>
      <c r="E696" s="6" t="s">
        <v>17</v>
      </c>
      <c r="F696" s="6" t="s">
        <v>18</v>
      </c>
      <c r="G696" s="11"/>
      <c r="H696" s="6" t="s">
        <v>545</v>
      </c>
      <c r="I696" s="10" t="str">
        <f t="shared" si="1"/>
        <v>_2025_</v>
      </c>
      <c r="J696" s="10" t="str">
        <f t="shared" si="2"/>
        <v>_9_</v>
      </c>
    </row>
    <row r="697">
      <c r="A697" s="5">
        <v>45924.0</v>
      </c>
      <c r="B697" s="6" t="s">
        <v>27</v>
      </c>
      <c r="C697" s="6" t="s">
        <v>124</v>
      </c>
      <c r="D697" s="7">
        <v>303.0</v>
      </c>
      <c r="E697" s="6" t="s">
        <v>17</v>
      </c>
      <c r="F697" s="6" t="s">
        <v>18</v>
      </c>
      <c r="G697" s="11"/>
      <c r="H697" s="6" t="s">
        <v>546</v>
      </c>
      <c r="I697" s="10" t="str">
        <f t="shared" si="1"/>
        <v>_2025_</v>
      </c>
      <c r="J697" s="10" t="str">
        <f t="shared" si="2"/>
        <v>_9_</v>
      </c>
    </row>
    <row r="698">
      <c r="A698" s="5">
        <v>45925.0</v>
      </c>
      <c r="B698" s="6" t="s">
        <v>23</v>
      </c>
      <c r="C698" s="6" t="s">
        <v>24</v>
      </c>
      <c r="D698" s="7">
        <v>42612.86</v>
      </c>
      <c r="E698" s="6" t="s">
        <v>12</v>
      </c>
      <c r="F698" s="11"/>
      <c r="G698" s="11"/>
      <c r="H698" s="11"/>
      <c r="I698" s="10" t="str">
        <f t="shared" si="1"/>
        <v>_2025_</v>
      </c>
      <c r="J698" s="10" t="str">
        <f t="shared" si="2"/>
        <v>_9_</v>
      </c>
    </row>
    <row r="699">
      <c r="A699" s="5">
        <v>45926.0</v>
      </c>
      <c r="B699" s="6" t="s">
        <v>20</v>
      </c>
      <c r="C699" s="6" t="s">
        <v>25</v>
      </c>
      <c r="D699" s="7">
        <v>259.0</v>
      </c>
      <c r="E699" s="6" t="s">
        <v>55</v>
      </c>
      <c r="F699" s="6" t="s">
        <v>334</v>
      </c>
      <c r="G699" s="6" t="s">
        <v>30</v>
      </c>
      <c r="H699" s="11"/>
      <c r="I699" s="10" t="str">
        <f t="shared" si="1"/>
        <v>_2025_</v>
      </c>
      <c r="J699" s="10" t="str">
        <f t="shared" si="2"/>
        <v>_9_</v>
      </c>
    </row>
    <row r="700">
      <c r="A700" s="5">
        <v>45927.0</v>
      </c>
      <c r="B700" s="6" t="s">
        <v>20</v>
      </c>
      <c r="C700" s="6" t="s">
        <v>32</v>
      </c>
      <c r="D700" s="7">
        <v>99.0</v>
      </c>
      <c r="E700" s="6" t="s">
        <v>55</v>
      </c>
      <c r="F700" s="6" t="s">
        <v>334</v>
      </c>
      <c r="G700" s="11"/>
      <c r="H700" s="6"/>
      <c r="I700" s="10" t="str">
        <f t="shared" si="1"/>
        <v>_2025_</v>
      </c>
      <c r="J700" s="10" t="str">
        <f t="shared" si="2"/>
        <v>_9_</v>
      </c>
    </row>
    <row r="701">
      <c r="A701" s="5">
        <v>45927.0</v>
      </c>
      <c r="B701" s="6" t="s">
        <v>159</v>
      </c>
      <c r="C701" s="6" t="s">
        <v>16</v>
      </c>
      <c r="D701" s="7">
        <v>750.0</v>
      </c>
      <c r="E701" s="6" t="s">
        <v>17</v>
      </c>
      <c r="F701" s="6" t="s">
        <v>18</v>
      </c>
      <c r="G701" s="6" t="s">
        <v>77</v>
      </c>
      <c r="H701" s="11"/>
      <c r="I701" s="10" t="str">
        <f t="shared" si="1"/>
        <v>_2025_</v>
      </c>
      <c r="J701" s="10" t="str">
        <f t="shared" si="2"/>
        <v>_9_</v>
      </c>
    </row>
    <row r="702">
      <c r="A702" s="5">
        <v>45927.0</v>
      </c>
      <c r="B702" s="6" t="s">
        <v>159</v>
      </c>
      <c r="C702" s="6" t="s">
        <v>25</v>
      </c>
      <c r="D702" s="7">
        <v>60.0</v>
      </c>
      <c r="E702" s="6" t="s">
        <v>12</v>
      </c>
      <c r="F702" s="11"/>
      <c r="G702" s="11"/>
      <c r="H702" s="6" t="s">
        <v>383</v>
      </c>
      <c r="I702" s="10" t="str">
        <f t="shared" si="1"/>
        <v>_2025_</v>
      </c>
      <c r="J702" s="10" t="str">
        <f t="shared" si="2"/>
        <v>_9_</v>
      </c>
    </row>
    <row r="703">
      <c r="A703" s="5">
        <v>45927.0</v>
      </c>
      <c r="B703" s="6" t="s">
        <v>159</v>
      </c>
      <c r="C703" s="6" t="s">
        <v>32</v>
      </c>
      <c r="D703" s="7">
        <v>20.0</v>
      </c>
      <c r="E703" s="6" t="s">
        <v>12</v>
      </c>
      <c r="F703" s="11"/>
      <c r="G703" s="11"/>
      <c r="H703" s="6" t="s">
        <v>547</v>
      </c>
      <c r="I703" s="10" t="str">
        <f t="shared" si="1"/>
        <v>_2025_</v>
      </c>
      <c r="J703" s="10" t="str">
        <f t="shared" si="2"/>
        <v>_9_</v>
      </c>
    </row>
    <row r="704">
      <c r="A704" s="5">
        <v>45927.0</v>
      </c>
      <c r="B704" s="6" t="s">
        <v>159</v>
      </c>
      <c r="C704" s="6" t="s">
        <v>161</v>
      </c>
      <c r="D704" s="7">
        <v>330.0</v>
      </c>
      <c r="E704" s="6" t="s">
        <v>12</v>
      </c>
      <c r="F704" s="11"/>
      <c r="G704" s="11"/>
      <c r="H704" s="6" t="s">
        <v>548</v>
      </c>
      <c r="I704" s="10" t="str">
        <f t="shared" si="1"/>
        <v>_2025_</v>
      </c>
      <c r="J704" s="10" t="str">
        <f t="shared" si="2"/>
        <v>_9_</v>
      </c>
    </row>
    <row r="705">
      <c r="A705" s="5">
        <v>45927.0</v>
      </c>
      <c r="B705" s="6" t="s">
        <v>159</v>
      </c>
      <c r="C705" s="6" t="s">
        <v>20</v>
      </c>
      <c r="D705" s="17">
        <f>75+40+49</f>
        <v>164</v>
      </c>
      <c r="E705" s="6" t="s">
        <v>12</v>
      </c>
      <c r="F705" s="11"/>
      <c r="G705" s="11"/>
      <c r="H705" s="6" t="s">
        <v>549</v>
      </c>
      <c r="I705" s="10" t="str">
        <f t="shared" si="1"/>
        <v>_2025_</v>
      </c>
      <c r="J705" s="10" t="str">
        <f t="shared" si="2"/>
        <v>_9_</v>
      </c>
    </row>
    <row r="706">
      <c r="A706" s="5">
        <v>45927.0</v>
      </c>
      <c r="B706" s="6" t="s">
        <v>159</v>
      </c>
      <c r="C706" s="6" t="s">
        <v>65</v>
      </c>
      <c r="D706" s="7">
        <f>318+415</f>
        <v>733</v>
      </c>
      <c r="E706" s="6" t="s">
        <v>12</v>
      </c>
      <c r="F706" s="11"/>
      <c r="G706" s="11"/>
      <c r="H706" s="6" t="s">
        <v>69</v>
      </c>
      <c r="I706" s="10" t="str">
        <f t="shared" si="1"/>
        <v>_2025_</v>
      </c>
      <c r="J706" s="10" t="str">
        <f t="shared" si="2"/>
        <v>_9_</v>
      </c>
    </row>
    <row r="707">
      <c r="A707" s="5">
        <v>45928.0</v>
      </c>
      <c r="B707" s="6" t="s">
        <v>159</v>
      </c>
      <c r="C707" s="6" t="s">
        <v>21</v>
      </c>
      <c r="D707" s="7">
        <v>1032.25</v>
      </c>
      <c r="E707" s="6" t="s">
        <v>12</v>
      </c>
      <c r="F707" s="11"/>
      <c r="G707" s="6" t="s">
        <v>36</v>
      </c>
      <c r="H707" s="6" t="s">
        <v>550</v>
      </c>
      <c r="I707" s="10" t="str">
        <f t="shared" si="1"/>
        <v>_2025_</v>
      </c>
      <c r="J707" s="10" t="str">
        <f t="shared" si="2"/>
        <v>_9_</v>
      </c>
    </row>
    <row r="708">
      <c r="A708" s="5">
        <v>45928.0</v>
      </c>
      <c r="B708" s="6" t="s">
        <v>58</v>
      </c>
      <c r="C708" s="6" t="s">
        <v>58</v>
      </c>
      <c r="D708" s="7">
        <f>344.09*2</f>
        <v>688.18</v>
      </c>
      <c r="E708" s="6" t="s">
        <v>12</v>
      </c>
      <c r="F708" s="11"/>
      <c r="G708" s="11"/>
      <c r="H708" s="11"/>
      <c r="I708" s="10" t="str">
        <f t="shared" si="1"/>
        <v>_2025_</v>
      </c>
      <c r="J708" s="10" t="str">
        <f t="shared" si="2"/>
        <v>_9_</v>
      </c>
    </row>
    <row r="709">
      <c r="A709" s="5">
        <v>45928.0</v>
      </c>
      <c r="B709" s="6" t="s">
        <v>159</v>
      </c>
      <c r="C709" s="6" t="s">
        <v>20</v>
      </c>
      <c r="D709" s="7">
        <v>50.0</v>
      </c>
      <c r="E709" s="6" t="s">
        <v>12</v>
      </c>
      <c r="F709" s="11"/>
      <c r="G709" s="6" t="s">
        <v>82</v>
      </c>
      <c r="H709" s="6" t="s">
        <v>551</v>
      </c>
      <c r="I709" s="10" t="str">
        <f t="shared" si="1"/>
        <v>_2025_</v>
      </c>
      <c r="J709" s="10" t="str">
        <f t="shared" si="2"/>
        <v>_9_</v>
      </c>
    </row>
    <row r="710">
      <c r="A710" s="5">
        <v>45928.0</v>
      </c>
      <c r="B710" s="6" t="s">
        <v>159</v>
      </c>
      <c r="C710" s="6" t="s">
        <v>20</v>
      </c>
      <c r="D710" s="7">
        <f>45+20</f>
        <v>65</v>
      </c>
      <c r="E710" s="6" t="s">
        <v>12</v>
      </c>
      <c r="F710" s="11"/>
      <c r="G710" s="11"/>
      <c r="H710" s="6" t="s">
        <v>552</v>
      </c>
      <c r="I710" s="10" t="str">
        <f t="shared" si="1"/>
        <v>_2025_</v>
      </c>
      <c r="J710" s="10" t="str">
        <f t="shared" si="2"/>
        <v>_9_</v>
      </c>
    </row>
    <row r="711">
      <c r="A711" s="5">
        <v>45929.0</v>
      </c>
      <c r="B711" s="6" t="s">
        <v>159</v>
      </c>
      <c r="C711" s="6" t="s">
        <v>20</v>
      </c>
      <c r="D711" s="7">
        <f>60+20</f>
        <v>80</v>
      </c>
      <c r="E711" s="6" t="s">
        <v>12</v>
      </c>
      <c r="F711" s="11"/>
      <c r="G711" s="11"/>
      <c r="H711" s="6" t="s">
        <v>553</v>
      </c>
      <c r="I711" s="10" t="str">
        <f t="shared" si="1"/>
        <v>_2025_</v>
      </c>
      <c r="J711" s="10" t="str">
        <f t="shared" si="2"/>
        <v>_9_</v>
      </c>
    </row>
    <row r="712">
      <c r="A712" s="5">
        <v>45929.0</v>
      </c>
      <c r="B712" s="6" t="s">
        <v>159</v>
      </c>
      <c r="C712" s="6" t="s">
        <v>114</v>
      </c>
      <c r="D712" s="7">
        <f>109+60</f>
        <v>169</v>
      </c>
      <c r="E712" s="6" t="s">
        <v>12</v>
      </c>
      <c r="F712" s="11"/>
      <c r="G712" s="11"/>
      <c r="H712" s="6" t="s">
        <v>554</v>
      </c>
      <c r="I712" s="10" t="str">
        <f t="shared" si="1"/>
        <v>_2025_</v>
      </c>
      <c r="J712" s="10" t="str">
        <f t="shared" si="2"/>
        <v>_9_</v>
      </c>
    </row>
    <row r="713">
      <c r="A713" s="5">
        <v>45928.0</v>
      </c>
      <c r="B713" s="6" t="s">
        <v>159</v>
      </c>
      <c r="C713" s="6" t="s">
        <v>16</v>
      </c>
      <c r="D713" s="7">
        <v>650.0</v>
      </c>
      <c r="E713" s="6" t="s">
        <v>17</v>
      </c>
      <c r="F713" s="6" t="s">
        <v>18</v>
      </c>
      <c r="G713" s="6" t="s">
        <v>19</v>
      </c>
      <c r="H713" s="11"/>
      <c r="I713" s="10" t="str">
        <f t="shared" si="1"/>
        <v>_2025_</v>
      </c>
      <c r="J713" s="10" t="str">
        <f t="shared" si="2"/>
        <v>_9_</v>
      </c>
    </row>
    <row r="714">
      <c r="A714" s="5">
        <v>45929.0</v>
      </c>
      <c r="B714" s="6" t="s">
        <v>159</v>
      </c>
      <c r="C714" s="6" t="s">
        <v>20</v>
      </c>
      <c r="D714" s="7">
        <v>118.0</v>
      </c>
      <c r="E714" s="6" t="s">
        <v>12</v>
      </c>
      <c r="F714" s="11"/>
      <c r="G714" s="11"/>
      <c r="H714" s="6" t="s">
        <v>555</v>
      </c>
      <c r="I714" s="10" t="str">
        <f t="shared" si="1"/>
        <v>_2025_</v>
      </c>
      <c r="J714" s="10" t="str">
        <f t="shared" si="2"/>
        <v>_9_</v>
      </c>
    </row>
    <row r="715">
      <c r="A715" s="5">
        <v>45929.0</v>
      </c>
      <c r="B715" s="6" t="s">
        <v>159</v>
      </c>
      <c r="C715" s="6" t="s">
        <v>336</v>
      </c>
      <c r="D715" s="7">
        <v>110.0</v>
      </c>
      <c r="E715" s="6" t="s">
        <v>12</v>
      </c>
      <c r="F715" s="11"/>
      <c r="G715" s="11"/>
      <c r="H715" s="6" t="s">
        <v>556</v>
      </c>
      <c r="I715" s="10" t="str">
        <f t="shared" si="1"/>
        <v>_2025_</v>
      </c>
      <c r="J715" s="10" t="str">
        <f t="shared" si="2"/>
        <v>_9_</v>
      </c>
    </row>
    <row r="716">
      <c r="A716" s="5">
        <v>45929.0</v>
      </c>
      <c r="B716" s="6" t="s">
        <v>159</v>
      </c>
      <c r="C716" s="6" t="s">
        <v>75</v>
      </c>
      <c r="D716" s="7">
        <v>120.0</v>
      </c>
      <c r="E716" s="6" t="s">
        <v>12</v>
      </c>
      <c r="F716" s="11"/>
      <c r="G716" s="11"/>
      <c r="H716" s="6" t="s">
        <v>557</v>
      </c>
      <c r="I716" s="10" t="str">
        <f t="shared" si="1"/>
        <v>_2025_</v>
      </c>
      <c r="J716" s="10" t="str">
        <f t="shared" si="2"/>
        <v>_9_</v>
      </c>
    </row>
    <row r="717">
      <c r="A717" s="5">
        <v>45929.0</v>
      </c>
      <c r="B717" s="6" t="s">
        <v>159</v>
      </c>
      <c r="C717" s="6" t="s">
        <v>161</v>
      </c>
      <c r="D717" s="7">
        <v>290.0</v>
      </c>
      <c r="E717" s="6" t="s">
        <v>12</v>
      </c>
      <c r="F717" s="11"/>
      <c r="G717" s="11"/>
      <c r="H717" s="6" t="s">
        <v>162</v>
      </c>
      <c r="I717" s="10" t="str">
        <f t="shared" si="1"/>
        <v>_2025_</v>
      </c>
      <c r="J717" s="10" t="str">
        <f t="shared" si="2"/>
        <v>_9_</v>
      </c>
    </row>
    <row r="718">
      <c r="A718" s="5">
        <v>45929.0</v>
      </c>
      <c r="B718" s="6" t="s">
        <v>159</v>
      </c>
      <c r="C718" s="6" t="s">
        <v>16</v>
      </c>
      <c r="D718" s="7">
        <v>650.0</v>
      </c>
      <c r="E718" s="6" t="s">
        <v>17</v>
      </c>
      <c r="F718" s="6" t="s">
        <v>18</v>
      </c>
      <c r="G718" s="6" t="s">
        <v>19</v>
      </c>
      <c r="H718" s="11"/>
      <c r="I718" s="10" t="str">
        <f t="shared" si="1"/>
        <v>_2025_</v>
      </c>
      <c r="J718" s="10" t="str">
        <f t="shared" si="2"/>
        <v>_9_</v>
      </c>
    </row>
    <row r="719">
      <c r="A719" s="5">
        <v>45929.0</v>
      </c>
      <c r="B719" s="6" t="s">
        <v>159</v>
      </c>
      <c r="C719" s="6" t="s">
        <v>21</v>
      </c>
      <c r="D719" s="7">
        <v>1500.0</v>
      </c>
      <c r="E719" s="6" t="s">
        <v>12</v>
      </c>
      <c r="F719" s="11"/>
      <c r="G719" s="11"/>
      <c r="H719" s="11"/>
      <c r="I719" s="10" t="str">
        <f t="shared" si="1"/>
        <v>_2025_</v>
      </c>
      <c r="J719" s="10" t="str">
        <f t="shared" si="2"/>
        <v>_9_</v>
      </c>
    </row>
    <row r="720">
      <c r="A720" s="5">
        <v>45929.0</v>
      </c>
      <c r="B720" s="6" t="s">
        <v>159</v>
      </c>
      <c r="C720" s="6" t="s">
        <v>20</v>
      </c>
      <c r="D720" s="7">
        <v>60.0</v>
      </c>
      <c r="E720" s="6" t="s">
        <v>12</v>
      </c>
      <c r="F720" s="11"/>
      <c r="G720" s="11"/>
      <c r="H720" s="6" t="s">
        <v>558</v>
      </c>
      <c r="I720" s="10" t="str">
        <f t="shared" si="1"/>
        <v>_2025_</v>
      </c>
      <c r="J720" s="10" t="str">
        <f t="shared" si="2"/>
        <v>_9_</v>
      </c>
    </row>
    <row r="721">
      <c r="A721" s="5">
        <v>45929.0</v>
      </c>
      <c r="B721" s="6" t="s">
        <v>159</v>
      </c>
      <c r="C721" s="6" t="s">
        <v>20</v>
      </c>
      <c r="D721" s="7">
        <f>100+55</f>
        <v>155</v>
      </c>
      <c r="E721" s="6" t="s">
        <v>12</v>
      </c>
      <c r="F721" s="11"/>
      <c r="G721" s="11"/>
      <c r="H721" s="6" t="s">
        <v>559</v>
      </c>
      <c r="I721" s="10" t="str">
        <f t="shared" si="1"/>
        <v>_2025_</v>
      </c>
      <c r="J721" s="10" t="str">
        <f t="shared" si="2"/>
        <v>_9_</v>
      </c>
    </row>
    <row r="722">
      <c r="A722" s="5">
        <v>45929.0</v>
      </c>
      <c r="B722" s="6" t="s">
        <v>159</v>
      </c>
      <c r="C722" s="6" t="s">
        <v>20</v>
      </c>
      <c r="D722" s="7">
        <v>139.0</v>
      </c>
      <c r="E722" s="6" t="s">
        <v>55</v>
      </c>
      <c r="F722" s="6" t="s">
        <v>334</v>
      </c>
      <c r="G722" s="6" t="s">
        <v>30</v>
      </c>
      <c r="H722" s="11"/>
      <c r="I722" s="10" t="str">
        <f t="shared" si="1"/>
        <v>_2025_</v>
      </c>
      <c r="J722" s="10" t="str">
        <f t="shared" si="2"/>
        <v>_9_</v>
      </c>
    </row>
    <row r="723">
      <c r="A723" s="5">
        <v>45929.0</v>
      </c>
      <c r="B723" s="6" t="s">
        <v>23</v>
      </c>
      <c r="C723" s="6" t="s">
        <v>21</v>
      </c>
      <c r="D723" s="7">
        <v>1500.0</v>
      </c>
      <c r="E723" s="6" t="s">
        <v>12</v>
      </c>
      <c r="F723" s="11"/>
      <c r="G723" s="11"/>
      <c r="H723" s="6" t="s">
        <v>560</v>
      </c>
      <c r="I723" s="10" t="str">
        <f t="shared" si="1"/>
        <v>_2025_</v>
      </c>
      <c r="J723" s="10" t="str">
        <f t="shared" si="2"/>
        <v>_9_</v>
      </c>
    </row>
    <row r="724">
      <c r="A724" s="5">
        <v>45932.0</v>
      </c>
      <c r="B724" s="6" t="s">
        <v>20</v>
      </c>
      <c r="C724" s="6" t="s">
        <v>25</v>
      </c>
      <c r="D724" s="7">
        <v>59.0</v>
      </c>
      <c r="E724" s="6" t="s">
        <v>51</v>
      </c>
      <c r="F724" s="6" t="s">
        <v>18</v>
      </c>
      <c r="G724" s="6" t="s">
        <v>30</v>
      </c>
      <c r="H724" s="11"/>
      <c r="I724" s="10" t="str">
        <f t="shared" si="1"/>
        <v>_2025_</v>
      </c>
      <c r="J724" s="10" t="str">
        <f t="shared" si="2"/>
        <v>_10_</v>
      </c>
    </row>
    <row r="725">
      <c r="A725" s="5">
        <v>45933.0</v>
      </c>
      <c r="B725" s="6" t="s">
        <v>20</v>
      </c>
      <c r="C725" s="6" t="s">
        <v>32</v>
      </c>
      <c r="D725" s="7">
        <v>35.0</v>
      </c>
      <c r="E725" s="6" t="s">
        <v>12</v>
      </c>
      <c r="F725" s="11"/>
      <c r="G725" s="11"/>
      <c r="H725" s="6" t="s">
        <v>381</v>
      </c>
      <c r="I725" s="10" t="str">
        <f t="shared" si="1"/>
        <v>_2025_</v>
      </c>
      <c r="J725" s="10" t="str">
        <f t="shared" si="2"/>
        <v>_10_</v>
      </c>
    </row>
    <row r="726">
      <c r="A726" s="5">
        <v>45933.0</v>
      </c>
      <c r="B726" s="6" t="s">
        <v>20</v>
      </c>
      <c r="C726" s="6" t="s">
        <v>35</v>
      </c>
      <c r="D726" s="7">
        <v>41.0</v>
      </c>
      <c r="E726" s="6" t="s">
        <v>17</v>
      </c>
      <c r="F726" s="6" t="s">
        <v>18</v>
      </c>
      <c r="G726" s="6" t="s">
        <v>36</v>
      </c>
      <c r="H726" s="6" t="s">
        <v>561</v>
      </c>
      <c r="I726" s="10" t="str">
        <f t="shared" si="1"/>
        <v>_2025_</v>
      </c>
      <c r="J726" s="10" t="str">
        <f t="shared" si="2"/>
        <v>_10_</v>
      </c>
    </row>
    <row r="727">
      <c r="A727" s="5">
        <v>45933.0</v>
      </c>
      <c r="B727" s="6" t="s">
        <v>20</v>
      </c>
      <c r="C727" s="6" t="s">
        <v>31</v>
      </c>
      <c r="D727" s="7">
        <v>39.0</v>
      </c>
      <c r="E727" s="6" t="s">
        <v>17</v>
      </c>
      <c r="F727" s="6" t="s">
        <v>18</v>
      </c>
      <c r="G727" s="6" t="s">
        <v>36</v>
      </c>
      <c r="H727" s="6" t="s">
        <v>469</v>
      </c>
      <c r="I727" s="10" t="str">
        <f t="shared" si="1"/>
        <v>_2025_</v>
      </c>
      <c r="J727" s="10" t="str">
        <f t="shared" si="2"/>
        <v>_10_</v>
      </c>
    </row>
    <row r="728">
      <c r="A728" s="5">
        <v>45934.0</v>
      </c>
      <c r="B728" s="6" t="s">
        <v>15</v>
      </c>
      <c r="C728" s="6" t="s">
        <v>16</v>
      </c>
      <c r="D728" s="7">
        <v>750.0</v>
      </c>
      <c r="E728" s="6" t="s">
        <v>17</v>
      </c>
      <c r="F728" s="6" t="s">
        <v>18</v>
      </c>
      <c r="G728" s="6" t="s">
        <v>77</v>
      </c>
      <c r="H728" s="11"/>
      <c r="I728" s="10" t="str">
        <f t="shared" si="1"/>
        <v>_2025_</v>
      </c>
      <c r="J728" s="10" t="str">
        <f t="shared" si="2"/>
        <v>_10_</v>
      </c>
    </row>
    <row r="729">
      <c r="A729" s="5">
        <v>45934.0</v>
      </c>
      <c r="B729" s="6" t="s">
        <v>20</v>
      </c>
      <c r="C729" s="6" t="s">
        <v>25</v>
      </c>
      <c r="D729" s="7">
        <v>169.0</v>
      </c>
      <c r="E729" s="6" t="s">
        <v>55</v>
      </c>
      <c r="F729" s="6" t="s">
        <v>334</v>
      </c>
      <c r="G729" s="11"/>
      <c r="H729" s="6" t="s">
        <v>562</v>
      </c>
      <c r="I729" s="10" t="str">
        <f t="shared" si="1"/>
        <v>_2025_</v>
      </c>
      <c r="J729" s="10" t="str">
        <f t="shared" si="2"/>
        <v>_10_</v>
      </c>
    </row>
    <row r="730">
      <c r="A730" s="5">
        <v>45935.0</v>
      </c>
      <c r="B730" s="6" t="s">
        <v>20</v>
      </c>
      <c r="C730" s="6" t="s">
        <v>35</v>
      </c>
      <c r="D730" s="7">
        <v>60.0</v>
      </c>
      <c r="E730" s="6" t="s">
        <v>12</v>
      </c>
      <c r="F730" s="11"/>
      <c r="G730" s="11"/>
      <c r="H730" s="6" t="s">
        <v>563</v>
      </c>
      <c r="I730" s="10" t="str">
        <f t="shared" si="1"/>
        <v>_2025_</v>
      </c>
      <c r="J730" s="10" t="str">
        <f t="shared" si="2"/>
        <v>_10_</v>
      </c>
    </row>
    <row r="731">
      <c r="A731" s="5">
        <v>45935.0</v>
      </c>
      <c r="B731" s="6" t="s">
        <v>20</v>
      </c>
      <c r="C731" s="6" t="s">
        <v>25</v>
      </c>
      <c r="D731" s="7">
        <v>25.0</v>
      </c>
      <c r="E731" s="6" t="s">
        <v>12</v>
      </c>
      <c r="F731" s="11"/>
      <c r="G731" s="11"/>
      <c r="H731" s="6" t="s">
        <v>564</v>
      </c>
      <c r="I731" s="10" t="str">
        <f t="shared" si="1"/>
        <v>_2025_</v>
      </c>
      <c r="J731" s="10" t="str">
        <f t="shared" si="2"/>
        <v>_10_</v>
      </c>
    </row>
    <row r="732">
      <c r="A732" s="5">
        <v>45935.0</v>
      </c>
      <c r="B732" s="6" t="s">
        <v>20</v>
      </c>
      <c r="C732" s="6" t="s">
        <v>25</v>
      </c>
      <c r="D732" s="7">
        <v>284.0</v>
      </c>
      <c r="E732" s="6" t="s">
        <v>12</v>
      </c>
      <c r="F732" s="11"/>
      <c r="G732" s="11"/>
      <c r="H732" s="6" t="s">
        <v>565</v>
      </c>
      <c r="I732" s="10" t="str">
        <f t="shared" si="1"/>
        <v>_2025_</v>
      </c>
      <c r="J732" s="10" t="str">
        <f t="shared" si="2"/>
        <v>_10_</v>
      </c>
    </row>
    <row r="733">
      <c r="A733" s="5">
        <v>45936.0</v>
      </c>
      <c r="B733" s="6" t="s">
        <v>20</v>
      </c>
      <c r="C733" s="6" t="s">
        <v>25</v>
      </c>
      <c r="D733" s="7">
        <v>169.0</v>
      </c>
      <c r="E733" s="6" t="s">
        <v>17</v>
      </c>
      <c r="F733" s="6" t="s">
        <v>18</v>
      </c>
      <c r="G733" s="6" t="s">
        <v>82</v>
      </c>
      <c r="H733" s="11"/>
      <c r="I733" s="10" t="str">
        <f t="shared" si="1"/>
        <v>_2025_</v>
      </c>
      <c r="J733" s="10" t="str">
        <f t="shared" si="2"/>
        <v>_10_</v>
      </c>
    </row>
    <row r="734">
      <c r="A734" s="5">
        <v>45936.0</v>
      </c>
      <c r="B734" s="6" t="s">
        <v>42</v>
      </c>
      <c r="C734" s="6" t="s">
        <v>43</v>
      </c>
      <c r="D734" s="7">
        <v>19.0</v>
      </c>
      <c r="E734" s="6" t="s">
        <v>55</v>
      </c>
      <c r="F734" s="6" t="s">
        <v>334</v>
      </c>
      <c r="G734" s="11"/>
      <c r="H734" s="6" t="s">
        <v>44</v>
      </c>
      <c r="I734" s="10" t="str">
        <f t="shared" si="1"/>
        <v>_2025_</v>
      </c>
      <c r="J734" s="10" t="str">
        <f t="shared" si="2"/>
        <v>_10_</v>
      </c>
    </row>
    <row r="735">
      <c r="A735" s="5">
        <v>45936.0</v>
      </c>
      <c r="B735" s="6" t="s">
        <v>20</v>
      </c>
      <c r="C735" s="6" t="s">
        <v>31</v>
      </c>
      <c r="D735" s="7">
        <v>40.0</v>
      </c>
      <c r="E735" s="6" t="s">
        <v>12</v>
      </c>
      <c r="F735" s="11"/>
      <c r="G735" s="11"/>
      <c r="H735" s="6" t="s">
        <v>49</v>
      </c>
      <c r="I735" s="10" t="str">
        <f t="shared" si="1"/>
        <v>_2025_</v>
      </c>
      <c r="J735" s="10" t="str">
        <f t="shared" si="2"/>
        <v>_10_</v>
      </c>
    </row>
    <row r="736">
      <c r="A736" s="5">
        <v>45936.0</v>
      </c>
      <c r="B736" s="6" t="s">
        <v>20</v>
      </c>
      <c r="C736" s="6" t="s">
        <v>25</v>
      </c>
      <c r="D736" s="7">
        <v>50.0</v>
      </c>
      <c r="E736" s="6" t="s">
        <v>12</v>
      </c>
      <c r="F736" s="11"/>
      <c r="G736" s="6" t="s">
        <v>177</v>
      </c>
      <c r="H736" s="11"/>
      <c r="I736" s="10" t="str">
        <f t="shared" si="1"/>
        <v>_2025_</v>
      </c>
      <c r="J736" s="10" t="str">
        <f t="shared" si="2"/>
        <v>_10_</v>
      </c>
    </row>
    <row r="737">
      <c r="A737" s="5">
        <v>45937.0</v>
      </c>
      <c r="B737" s="6" t="s">
        <v>20</v>
      </c>
      <c r="C737" s="6" t="s">
        <v>32</v>
      </c>
      <c r="D737" s="7">
        <v>85.0</v>
      </c>
      <c r="E737" s="6" t="s">
        <v>55</v>
      </c>
      <c r="F737" s="6" t="s">
        <v>334</v>
      </c>
      <c r="G737" s="11"/>
      <c r="H737" s="6" t="s">
        <v>566</v>
      </c>
      <c r="I737" s="10" t="str">
        <f t="shared" si="1"/>
        <v>_2025_</v>
      </c>
      <c r="J737" s="10" t="str">
        <f t="shared" si="2"/>
        <v>_10_</v>
      </c>
    </row>
    <row r="738">
      <c r="A738" s="5">
        <v>45937.0</v>
      </c>
      <c r="B738" s="6" t="s">
        <v>20</v>
      </c>
      <c r="C738" s="6" t="s">
        <v>25</v>
      </c>
      <c r="D738" s="7">
        <v>219.0</v>
      </c>
      <c r="E738" s="6" t="s">
        <v>12</v>
      </c>
      <c r="F738" s="11"/>
      <c r="G738" s="11"/>
      <c r="H738" s="6" t="s">
        <v>567</v>
      </c>
      <c r="I738" s="10" t="str">
        <f t="shared" si="1"/>
        <v>_2025_</v>
      </c>
      <c r="J738" s="10" t="str">
        <f t="shared" si="2"/>
        <v>_10_</v>
      </c>
    </row>
    <row r="739">
      <c r="A739" s="5">
        <v>45937.0</v>
      </c>
      <c r="B739" s="6" t="s">
        <v>27</v>
      </c>
      <c r="C739" s="6" t="s">
        <v>116</v>
      </c>
      <c r="D739" s="7">
        <v>250.0</v>
      </c>
      <c r="E739" s="6" t="s">
        <v>12</v>
      </c>
      <c r="F739" s="11"/>
      <c r="G739" s="11"/>
      <c r="H739" s="6" t="s">
        <v>568</v>
      </c>
      <c r="I739" s="10" t="str">
        <f t="shared" si="1"/>
        <v>_2025_</v>
      </c>
      <c r="J739" s="10" t="str">
        <f t="shared" si="2"/>
        <v>_10_</v>
      </c>
    </row>
    <row r="740">
      <c r="A740" s="5">
        <v>45927.0</v>
      </c>
      <c r="B740" s="6" t="s">
        <v>20</v>
      </c>
      <c r="C740" s="6" t="s">
        <v>32</v>
      </c>
      <c r="D740" s="7">
        <v>93.0</v>
      </c>
      <c r="E740" s="6" t="s">
        <v>12</v>
      </c>
      <c r="F740" s="11"/>
      <c r="G740" s="6" t="s">
        <v>47</v>
      </c>
      <c r="H740" s="11"/>
      <c r="I740" s="10" t="str">
        <f t="shared" si="1"/>
        <v>_2025_</v>
      </c>
      <c r="J740" s="10" t="str">
        <f t="shared" si="2"/>
        <v>_9_</v>
      </c>
    </row>
    <row r="741">
      <c r="A741" s="5">
        <v>45928.0</v>
      </c>
      <c r="B741" s="6" t="s">
        <v>20</v>
      </c>
      <c r="C741" s="6" t="s">
        <v>32</v>
      </c>
      <c r="D741" s="7">
        <v>14.0</v>
      </c>
      <c r="E741" s="6" t="s">
        <v>12</v>
      </c>
      <c r="F741" s="11"/>
      <c r="G741" s="6" t="s">
        <v>47</v>
      </c>
      <c r="H741" s="11"/>
      <c r="I741" s="10" t="str">
        <f t="shared" si="1"/>
        <v>_2025_</v>
      </c>
      <c r="J741" s="10" t="str">
        <f t="shared" si="2"/>
        <v>_9_</v>
      </c>
    </row>
    <row r="742">
      <c r="A742" s="5">
        <v>45930.0</v>
      </c>
      <c r="B742" s="6" t="s">
        <v>20</v>
      </c>
      <c r="C742" s="6" t="s">
        <v>31</v>
      </c>
      <c r="D742" s="7">
        <v>118.0</v>
      </c>
      <c r="E742" s="6" t="s">
        <v>12</v>
      </c>
      <c r="F742" s="11"/>
      <c r="G742" s="6" t="s">
        <v>47</v>
      </c>
      <c r="H742" s="11"/>
      <c r="I742" s="10" t="str">
        <f t="shared" si="1"/>
        <v>_2025_</v>
      </c>
      <c r="J742" s="10" t="str">
        <f t="shared" si="2"/>
        <v>_9_</v>
      </c>
    </row>
    <row r="743">
      <c r="A743" s="5">
        <v>45931.0</v>
      </c>
      <c r="B743" s="6" t="s">
        <v>20</v>
      </c>
      <c r="C743" s="6" t="s">
        <v>31</v>
      </c>
      <c r="D743" s="7">
        <v>118.0</v>
      </c>
      <c r="E743" s="6" t="s">
        <v>12</v>
      </c>
      <c r="F743" s="11"/>
      <c r="G743" s="6" t="s">
        <v>47</v>
      </c>
      <c r="H743" s="11"/>
      <c r="I743" s="10" t="str">
        <f t="shared" si="1"/>
        <v>_2025_</v>
      </c>
      <c r="J743" s="10" t="str">
        <f t="shared" si="2"/>
        <v>_10_</v>
      </c>
    </row>
    <row r="744">
      <c r="A744" s="5">
        <v>45933.0</v>
      </c>
      <c r="B744" s="6" t="s">
        <v>20</v>
      </c>
      <c r="C744" s="6" t="s">
        <v>31</v>
      </c>
      <c r="D744" s="7">
        <v>66.0</v>
      </c>
      <c r="E744" s="6" t="s">
        <v>12</v>
      </c>
      <c r="F744" s="11"/>
      <c r="G744" s="6" t="s">
        <v>47</v>
      </c>
      <c r="H744" s="11"/>
      <c r="I744" s="10" t="str">
        <f t="shared" si="1"/>
        <v>_2025_</v>
      </c>
      <c r="J744" s="10" t="str">
        <f t="shared" si="2"/>
        <v>_10_</v>
      </c>
    </row>
    <row r="745">
      <c r="A745" s="5">
        <v>45936.0</v>
      </c>
      <c r="B745" s="6" t="s">
        <v>20</v>
      </c>
      <c r="C745" s="6" t="s">
        <v>65</v>
      </c>
      <c r="D745" s="7">
        <v>62.0</v>
      </c>
      <c r="E745" s="6" t="s">
        <v>12</v>
      </c>
      <c r="F745" s="11"/>
      <c r="G745" s="6" t="s">
        <v>47</v>
      </c>
      <c r="H745" s="11"/>
      <c r="I745" s="10" t="str">
        <f t="shared" si="1"/>
        <v>_2025_</v>
      </c>
      <c r="J745" s="10" t="str">
        <f t="shared" si="2"/>
        <v>_10_</v>
      </c>
    </row>
    <row r="746">
      <c r="A746" s="5">
        <v>45937.0</v>
      </c>
      <c r="B746" s="6" t="s">
        <v>172</v>
      </c>
      <c r="C746" s="6" t="s">
        <v>21</v>
      </c>
      <c r="D746" s="7">
        <v>40.0</v>
      </c>
      <c r="E746" s="6" t="s">
        <v>12</v>
      </c>
      <c r="F746" s="11"/>
      <c r="G746" s="6" t="s">
        <v>47</v>
      </c>
      <c r="H746" s="6" t="s">
        <v>569</v>
      </c>
      <c r="I746" s="10" t="str">
        <f t="shared" si="1"/>
        <v>_2025_</v>
      </c>
      <c r="J746" s="10" t="str">
        <f t="shared" si="2"/>
        <v>_10_</v>
      </c>
    </row>
    <row r="747">
      <c r="A747" s="5">
        <v>45925.0</v>
      </c>
      <c r="B747" s="6" t="s">
        <v>21</v>
      </c>
      <c r="C747" s="6" t="s">
        <v>101</v>
      </c>
      <c r="D747" s="7">
        <v>8251.0</v>
      </c>
      <c r="E747" s="6" t="s">
        <v>12</v>
      </c>
      <c r="F747" s="11"/>
      <c r="G747" s="6" t="s">
        <v>431</v>
      </c>
      <c r="H747" s="6" t="s">
        <v>570</v>
      </c>
      <c r="I747" s="10" t="str">
        <f t="shared" si="1"/>
        <v>_2025_</v>
      </c>
      <c r="J747" s="10" t="str">
        <f t="shared" si="2"/>
        <v>_9_</v>
      </c>
    </row>
    <row r="748">
      <c r="A748" s="5">
        <v>45925.0</v>
      </c>
      <c r="B748" s="6" t="s">
        <v>21</v>
      </c>
      <c r="C748" s="6" t="s">
        <v>101</v>
      </c>
      <c r="D748" s="7">
        <v>2000.0</v>
      </c>
      <c r="E748" s="6" t="s">
        <v>12</v>
      </c>
      <c r="F748" s="11"/>
      <c r="G748" s="6" t="s">
        <v>433</v>
      </c>
      <c r="H748" s="6" t="s">
        <v>434</v>
      </c>
      <c r="I748" s="10" t="str">
        <f t="shared" si="1"/>
        <v>_2025_</v>
      </c>
      <c r="J748" s="10" t="str">
        <f t="shared" si="2"/>
        <v>_9_</v>
      </c>
    </row>
    <row r="749">
      <c r="A749" s="5">
        <v>45925.0</v>
      </c>
      <c r="B749" s="6" t="s">
        <v>10</v>
      </c>
      <c r="C749" s="6" t="s">
        <v>11</v>
      </c>
      <c r="D749" s="7">
        <v>5000.0</v>
      </c>
      <c r="E749" s="6" t="s">
        <v>12</v>
      </c>
      <c r="F749" s="11"/>
      <c r="G749" s="11"/>
      <c r="H749" s="11"/>
      <c r="I749" s="10" t="str">
        <f t="shared" si="1"/>
        <v>_2025_</v>
      </c>
      <c r="J749" s="10" t="str">
        <f t="shared" si="2"/>
        <v>_9_</v>
      </c>
    </row>
    <row r="750">
      <c r="A750" s="5">
        <v>45925.0</v>
      </c>
      <c r="B750" s="6" t="s">
        <v>42</v>
      </c>
      <c r="C750" s="6" t="s">
        <v>94</v>
      </c>
      <c r="D750" s="7">
        <v>650.0</v>
      </c>
      <c r="E750" s="6" t="s">
        <v>12</v>
      </c>
      <c r="F750" s="11"/>
      <c r="G750" s="11"/>
      <c r="H750" s="11"/>
      <c r="I750" s="10" t="str">
        <f t="shared" si="1"/>
        <v>_2025_</v>
      </c>
      <c r="J750" s="10" t="str">
        <f t="shared" si="2"/>
        <v>_9_</v>
      </c>
    </row>
    <row r="751">
      <c r="A751" s="5">
        <v>45925.0</v>
      </c>
      <c r="B751" s="6" t="s">
        <v>42</v>
      </c>
      <c r="C751" s="6" t="s">
        <v>96</v>
      </c>
      <c r="D751" s="7">
        <v>540.0</v>
      </c>
      <c r="E751" s="6" t="s">
        <v>12</v>
      </c>
      <c r="F751" s="11"/>
      <c r="G751" s="11"/>
      <c r="H751" s="11"/>
      <c r="I751" s="10" t="str">
        <f t="shared" si="1"/>
        <v>_2025_</v>
      </c>
      <c r="J751" s="10" t="str">
        <f t="shared" si="2"/>
        <v>_9_</v>
      </c>
    </row>
    <row r="752">
      <c r="A752" s="5">
        <v>45903.0</v>
      </c>
      <c r="B752" s="6" t="s">
        <v>15</v>
      </c>
      <c r="C752" s="6" t="s">
        <v>144</v>
      </c>
      <c r="D752" s="7">
        <v>1456.0</v>
      </c>
      <c r="E752" s="6" t="s">
        <v>51</v>
      </c>
      <c r="F752" s="6" t="s">
        <v>18</v>
      </c>
      <c r="G752" s="6" t="s">
        <v>281</v>
      </c>
      <c r="H752" s="6" t="s">
        <v>571</v>
      </c>
      <c r="I752" s="10" t="str">
        <f t="shared" si="1"/>
        <v>_2025_</v>
      </c>
      <c r="J752" s="10" t="str">
        <f t="shared" si="2"/>
        <v>_9_</v>
      </c>
    </row>
    <row r="753">
      <c r="A753" s="5">
        <v>45933.0</v>
      </c>
      <c r="B753" s="6" t="s">
        <v>15</v>
      </c>
      <c r="C753" s="6" t="s">
        <v>144</v>
      </c>
      <c r="D753" s="7">
        <v>1456.0</v>
      </c>
      <c r="E753" s="6" t="s">
        <v>51</v>
      </c>
      <c r="F753" s="6" t="s">
        <v>18</v>
      </c>
      <c r="G753" s="6" t="s">
        <v>281</v>
      </c>
      <c r="H753" s="6" t="s">
        <v>572</v>
      </c>
      <c r="I753" s="10" t="str">
        <f t="shared" si="1"/>
        <v>_2025_</v>
      </c>
      <c r="J753" s="10" t="str">
        <f t="shared" si="2"/>
        <v>_10_</v>
      </c>
    </row>
    <row r="754">
      <c r="A754" s="5">
        <v>45938.0</v>
      </c>
      <c r="B754" s="6" t="s">
        <v>20</v>
      </c>
      <c r="C754" s="6" t="s">
        <v>31</v>
      </c>
      <c r="D754" s="7">
        <v>80.0</v>
      </c>
      <c r="E754" s="6" t="s">
        <v>12</v>
      </c>
      <c r="F754" s="11"/>
      <c r="G754" s="11"/>
      <c r="H754" s="6" t="s">
        <v>284</v>
      </c>
      <c r="I754" s="10" t="str">
        <f t="shared" si="1"/>
        <v>_2025_</v>
      </c>
      <c r="J754" s="10" t="str">
        <f t="shared" si="2"/>
        <v>_10_</v>
      </c>
    </row>
    <row r="755">
      <c r="A755" s="5">
        <v>45938.0</v>
      </c>
      <c r="B755" s="6" t="s">
        <v>20</v>
      </c>
      <c r="C755" s="6" t="s">
        <v>32</v>
      </c>
      <c r="D755" s="7">
        <v>113.0</v>
      </c>
      <c r="E755" s="6" t="s">
        <v>12</v>
      </c>
      <c r="F755" s="11"/>
      <c r="G755" s="6" t="s">
        <v>47</v>
      </c>
      <c r="H755" s="6" t="s">
        <v>573</v>
      </c>
      <c r="I755" s="10" t="str">
        <f t="shared" si="1"/>
        <v>_2025_</v>
      </c>
      <c r="J755" s="10" t="str">
        <f t="shared" si="2"/>
        <v>_10_</v>
      </c>
    </row>
    <row r="756">
      <c r="A756" s="5">
        <v>45938.0</v>
      </c>
      <c r="B756" s="6" t="s">
        <v>20</v>
      </c>
      <c r="C756" s="6" t="s">
        <v>25</v>
      </c>
      <c r="D756" s="7">
        <v>106.0</v>
      </c>
      <c r="E756" s="6" t="s">
        <v>12</v>
      </c>
      <c r="F756" s="11"/>
      <c r="G756" s="6" t="s">
        <v>47</v>
      </c>
      <c r="H756" s="6" t="s">
        <v>574</v>
      </c>
      <c r="I756" s="10" t="str">
        <f t="shared" si="1"/>
        <v>_2025_</v>
      </c>
      <c r="J756" s="10" t="str">
        <f t="shared" si="2"/>
        <v>_10_</v>
      </c>
    </row>
    <row r="757">
      <c r="A757" s="5">
        <v>45940.0</v>
      </c>
      <c r="B757" s="6" t="s">
        <v>15</v>
      </c>
      <c r="C757" s="6" t="s">
        <v>16</v>
      </c>
      <c r="D757" s="7">
        <v>750.0</v>
      </c>
      <c r="E757" s="6" t="s">
        <v>17</v>
      </c>
      <c r="F757" s="6" t="s">
        <v>18</v>
      </c>
      <c r="G757" s="6" t="s">
        <v>77</v>
      </c>
      <c r="H757" s="11"/>
      <c r="I757" s="10" t="str">
        <f t="shared" si="1"/>
        <v>_2025_</v>
      </c>
      <c r="J757" s="10" t="str">
        <f t="shared" si="2"/>
        <v>_10_</v>
      </c>
    </row>
    <row r="758">
      <c r="A758" s="5">
        <v>45939.0</v>
      </c>
      <c r="B758" s="6" t="s">
        <v>20</v>
      </c>
      <c r="C758" s="6" t="s">
        <v>35</v>
      </c>
      <c r="D758" s="17">
        <f>65+84+30</f>
        <v>179</v>
      </c>
      <c r="E758" s="6" t="s">
        <v>12</v>
      </c>
      <c r="F758" s="11"/>
      <c r="G758" s="11"/>
      <c r="H758" s="6" t="s">
        <v>575</v>
      </c>
      <c r="I758" s="10" t="str">
        <f t="shared" si="1"/>
        <v>_2025_</v>
      </c>
      <c r="J758" s="10" t="str">
        <f t="shared" si="2"/>
        <v>_10_</v>
      </c>
    </row>
    <row r="759">
      <c r="A759" s="5">
        <v>45939.0</v>
      </c>
      <c r="B759" s="6" t="s">
        <v>20</v>
      </c>
      <c r="C759" s="6" t="s">
        <v>25</v>
      </c>
      <c r="D759" s="17">
        <f>40+85</f>
        <v>125</v>
      </c>
      <c r="E759" s="6" t="s">
        <v>12</v>
      </c>
      <c r="F759" s="11"/>
      <c r="G759" s="11"/>
      <c r="H759" s="6" t="s">
        <v>576</v>
      </c>
      <c r="I759" s="10" t="str">
        <f t="shared" si="1"/>
        <v>_2025_</v>
      </c>
      <c r="J759" s="10" t="str">
        <f t="shared" si="2"/>
        <v>_10_</v>
      </c>
    </row>
    <row r="760">
      <c r="A760" s="5">
        <v>45940.0</v>
      </c>
      <c r="B760" s="6" t="s">
        <v>20</v>
      </c>
      <c r="C760" s="6" t="s">
        <v>25</v>
      </c>
      <c r="D760" s="7">
        <v>95.0</v>
      </c>
      <c r="E760" s="6" t="s">
        <v>12</v>
      </c>
      <c r="F760" s="11"/>
      <c r="G760" s="11"/>
      <c r="H760" s="6" t="s">
        <v>383</v>
      </c>
      <c r="I760" s="10" t="str">
        <f t="shared" si="1"/>
        <v>_2025_</v>
      </c>
      <c r="J760" s="10" t="str">
        <f t="shared" si="2"/>
        <v>_10_</v>
      </c>
    </row>
    <row r="761">
      <c r="A761" s="5">
        <v>45941.0</v>
      </c>
      <c r="B761" s="6" t="s">
        <v>20</v>
      </c>
      <c r="C761" s="6" t="s">
        <v>32</v>
      </c>
      <c r="D761" s="7">
        <v>95.0</v>
      </c>
      <c r="E761" s="6" t="s">
        <v>55</v>
      </c>
      <c r="F761" s="6" t="s">
        <v>334</v>
      </c>
      <c r="G761" s="6" t="s">
        <v>33</v>
      </c>
      <c r="H761" s="11"/>
      <c r="I761" s="10" t="str">
        <f t="shared" si="1"/>
        <v>_2025_</v>
      </c>
      <c r="J761" s="10" t="str">
        <f t="shared" si="2"/>
        <v>_10_</v>
      </c>
    </row>
    <row r="762">
      <c r="A762" s="5">
        <v>45943.0</v>
      </c>
      <c r="B762" s="6" t="s">
        <v>172</v>
      </c>
      <c r="C762" s="6" t="s">
        <v>577</v>
      </c>
      <c r="D762" s="7">
        <v>200.0</v>
      </c>
      <c r="E762" s="6" t="s">
        <v>55</v>
      </c>
      <c r="F762" s="6" t="s">
        <v>334</v>
      </c>
      <c r="G762" s="6" t="s">
        <v>344</v>
      </c>
      <c r="H762" s="6" t="s">
        <v>578</v>
      </c>
      <c r="I762" s="10" t="str">
        <f t="shared" si="1"/>
        <v>_2025_</v>
      </c>
      <c r="J762" s="10" t="str">
        <f t="shared" si="2"/>
        <v>_10_</v>
      </c>
    </row>
    <row r="763">
      <c r="A763" s="5">
        <v>45943.0</v>
      </c>
      <c r="B763" s="6" t="s">
        <v>15</v>
      </c>
      <c r="C763" s="6" t="s">
        <v>16</v>
      </c>
      <c r="D763" s="7">
        <v>750.0</v>
      </c>
      <c r="E763" s="6" t="s">
        <v>17</v>
      </c>
      <c r="F763" s="6" t="s">
        <v>18</v>
      </c>
      <c r="G763" s="6" t="s">
        <v>77</v>
      </c>
      <c r="H763" s="11"/>
      <c r="I763" s="10" t="str">
        <f t="shared" si="1"/>
        <v>_2025_</v>
      </c>
      <c r="J763" s="10" t="str">
        <f t="shared" si="2"/>
        <v>_10_</v>
      </c>
    </row>
    <row r="764">
      <c r="A764" s="5">
        <v>45943.0</v>
      </c>
      <c r="B764" s="6" t="s">
        <v>20</v>
      </c>
      <c r="C764" s="6" t="s">
        <v>25</v>
      </c>
      <c r="D764" s="7">
        <f>99+50</f>
        <v>149</v>
      </c>
      <c r="E764" s="6" t="s">
        <v>55</v>
      </c>
      <c r="F764" s="6" t="s">
        <v>334</v>
      </c>
      <c r="G764" s="6" t="s">
        <v>76</v>
      </c>
      <c r="H764" s="6" t="s">
        <v>579</v>
      </c>
      <c r="I764" s="10" t="str">
        <f t="shared" si="1"/>
        <v>_2025_</v>
      </c>
      <c r="J764" s="10" t="str">
        <f t="shared" si="2"/>
        <v>_10_</v>
      </c>
    </row>
    <row r="765">
      <c r="A765" s="5">
        <v>45943.0</v>
      </c>
      <c r="B765" s="6" t="s">
        <v>42</v>
      </c>
      <c r="C765" s="6" t="s">
        <v>43</v>
      </c>
      <c r="D765" s="17">
        <f>359-65-65-65-64-64</f>
        <v>36</v>
      </c>
      <c r="E765" s="6" t="s">
        <v>55</v>
      </c>
      <c r="F765" s="6" t="s">
        <v>334</v>
      </c>
      <c r="G765" s="6" t="s">
        <v>195</v>
      </c>
      <c r="H765" s="11"/>
      <c r="I765" s="10" t="str">
        <f t="shared" si="1"/>
        <v>_2025_</v>
      </c>
      <c r="J765" s="10" t="str">
        <f t="shared" si="2"/>
        <v>_10_</v>
      </c>
    </row>
    <row r="766">
      <c r="A766" s="5">
        <v>45942.0</v>
      </c>
      <c r="B766" s="6" t="s">
        <v>20</v>
      </c>
      <c r="C766" s="6" t="s">
        <v>31</v>
      </c>
      <c r="D766" s="7">
        <f>65+7</f>
        <v>72</v>
      </c>
      <c r="E766" s="6" t="s">
        <v>12</v>
      </c>
      <c r="F766" s="11"/>
      <c r="G766" s="11"/>
      <c r="H766" s="6" t="s">
        <v>580</v>
      </c>
      <c r="I766" s="10" t="str">
        <f t="shared" si="1"/>
        <v>_2025_</v>
      </c>
      <c r="J766" s="10" t="str">
        <f t="shared" si="2"/>
        <v>_10_</v>
      </c>
    </row>
    <row r="767">
      <c r="A767" s="5">
        <v>45943.0</v>
      </c>
      <c r="B767" s="6" t="s">
        <v>20</v>
      </c>
      <c r="C767" s="6" t="s">
        <v>25</v>
      </c>
      <c r="D767" s="7">
        <v>60.0</v>
      </c>
      <c r="E767" s="6" t="s">
        <v>12</v>
      </c>
      <c r="F767" s="11"/>
      <c r="G767" s="11"/>
      <c r="H767" s="6" t="s">
        <v>383</v>
      </c>
      <c r="I767" s="10" t="str">
        <f t="shared" si="1"/>
        <v>_2025_</v>
      </c>
      <c r="J767" s="10" t="str">
        <f t="shared" si="2"/>
        <v>_10_</v>
      </c>
    </row>
    <row r="768">
      <c r="A768" s="5">
        <v>45943.0</v>
      </c>
      <c r="B768" s="6" t="s">
        <v>62</v>
      </c>
      <c r="C768" s="6" t="s">
        <v>63</v>
      </c>
      <c r="D768" s="7">
        <v>2670.31</v>
      </c>
      <c r="E768" s="6" t="s">
        <v>12</v>
      </c>
      <c r="F768" s="11"/>
      <c r="G768" s="11"/>
      <c r="H768" s="11"/>
      <c r="I768" s="10" t="str">
        <f t="shared" si="1"/>
        <v>_2025_</v>
      </c>
      <c r="J768" s="10" t="str">
        <f t="shared" si="2"/>
        <v>_10_</v>
      </c>
    </row>
    <row r="769">
      <c r="A769" s="5">
        <v>45944.0</v>
      </c>
      <c r="B769" s="6" t="s">
        <v>20</v>
      </c>
      <c r="C769" s="6" t="s">
        <v>25</v>
      </c>
      <c r="D769" s="7">
        <v>50.0</v>
      </c>
      <c r="E769" s="6" t="s">
        <v>12</v>
      </c>
      <c r="F769" s="11"/>
      <c r="G769" s="6" t="s">
        <v>82</v>
      </c>
      <c r="H769" s="11"/>
      <c r="I769" s="10" t="str">
        <f t="shared" si="1"/>
        <v>_2025_</v>
      </c>
      <c r="J769" s="10" t="str">
        <f t="shared" si="2"/>
        <v>_10_</v>
      </c>
    </row>
    <row r="770">
      <c r="A770" s="5">
        <v>45944.0</v>
      </c>
      <c r="B770" s="6" t="s">
        <v>15</v>
      </c>
      <c r="C770" s="6" t="s">
        <v>249</v>
      </c>
      <c r="D770" s="7">
        <v>30.0</v>
      </c>
      <c r="E770" s="6" t="s">
        <v>12</v>
      </c>
      <c r="F770" s="11"/>
      <c r="G770" s="11"/>
      <c r="H770" s="6" t="s">
        <v>557</v>
      </c>
      <c r="I770" s="10" t="str">
        <f t="shared" si="1"/>
        <v>_2025_</v>
      </c>
      <c r="J770" s="10" t="str">
        <f t="shared" si="2"/>
        <v>_10_</v>
      </c>
    </row>
    <row r="771">
      <c r="A771" s="5">
        <v>45941.0</v>
      </c>
      <c r="B771" s="6" t="s">
        <v>27</v>
      </c>
      <c r="C771" s="6" t="s">
        <v>154</v>
      </c>
      <c r="D771" s="7">
        <v>69.0</v>
      </c>
      <c r="E771" s="6" t="s">
        <v>12</v>
      </c>
      <c r="F771" s="11"/>
      <c r="G771" s="6" t="s">
        <v>47</v>
      </c>
      <c r="H771" s="6" t="s">
        <v>581</v>
      </c>
      <c r="I771" s="10" t="str">
        <f t="shared" si="1"/>
        <v>_2025_</v>
      </c>
      <c r="J771" s="10" t="str">
        <f t="shared" si="2"/>
        <v>_10_</v>
      </c>
    </row>
    <row r="772">
      <c r="A772" s="5">
        <v>45942.0</v>
      </c>
      <c r="B772" s="6" t="s">
        <v>20</v>
      </c>
      <c r="C772" s="6" t="s">
        <v>31</v>
      </c>
      <c r="D772" s="7">
        <v>140.0</v>
      </c>
      <c r="E772" s="6" t="s">
        <v>12</v>
      </c>
      <c r="F772" s="11"/>
      <c r="G772" s="6" t="s">
        <v>47</v>
      </c>
      <c r="H772" s="6" t="s">
        <v>582</v>
      </c>
      <c r="I772" s="10" t="str">
        <f t="shared" si="1"/>
        <v>_2025_</v>
      </c>
      <c r="J772" s="10" t="str">
        <f t="shared" si="2"/>
        <v>_10_</v>
      </c>
    </row>
    <row r="773">
      <c r="A773" s="5">
        <v>45944.0</v>
      </c>
      <c r="B773" s="6" t="s">
        <v>20</v>
      </c>
      <c r="C773" s="6" t="s">
        <v>32</v>
      </c>
      <c r="D773" s="7">
        <v>28.0</v>
      </c>
      <c r="E773" s="6" t="s">
        <v>12</v>
      </c>
      <c r="F773" s="11"/>
      <c r="G773" s="6" t="s">
        <v>47</v>
      </c>
      <c r="H773" s="6" t="s">
        <v>198</v>
      </c>
      <c r="I773" s="10" t="str">
        <f t="shared" si="1"/>
        <v>_2025_</v>
      </c>
      <c r="J773" s="10" t="str">
        <f t="shared" si="2"/>
        <v>_10_</v>
      </c>
    </row>
    <row r="774">
      <c r="A774" s="5">
        <v>45945.0</v>
      </c>
      <c r="B774" s="6" t="s">
        <v>20</v>
      </c>
      <c r="C774" s="6" t="s">
        <v>25</v>
      </c>
      <c r="D774" s="7">
        <v>98.0</v>
      </c>
      <c r="E774" s="6" t="s">
        <v>55</v>
      </c>
      <c r="F774" s="6" t="s">
        <v>334</v>
      </c>
      <c r="G774" s="6" t="s">
        <v>30</v>
      </c>
      <c r="H774" s="11"/>
      <c r="I774" s="10" t="str">
        <f t="shared" si="1"/>
        <v>_2025_</v>
      </c>
      <c r="J774" s="10" t="str">
        <f t="shared" si="2"/>
        <v>_10_</v>
      </c>
    </row>
    <row r="775">
      <c r="A775" s="5">
        <v>45946.0</v>
      </c>
      <c r="B775" s="6" t="s">
        <v>21</v>
      </c>
      <c r="C775" s="6" t="s">
        <v>21</v>
      </c>
      <c r="D775" s="7">
        <v>12.0</v>
      </c>
      <c r="E775" s="6" t="s">
        <v>150</v>
      </c>
      <c r="F775" s="11"/>
      <c r="G775" s="11"/>
      <c r="H775" s="6" t="s">
        <v>583</v>
      </c>
      <c r="I775" s="10" t="str">
        <f t="shared" si="1"/>
        <v>_2025_</v>
      </c>
      <c r="J775" s="10" t="str">
        <f t="shared" si="2"/>
        <v>_10_</v>
      </c>
    </row>
    <row r="776">
      <c r="A776" s="5">
        <v>45946.0</v>
      </c>
      <c r="B776" s="6" t="s">
        <v>20</v>
      </c>
      <c r="C776" s="6" t="s">
        <v>25</v>
      </c>
      <c r="D776" s="7">
        <v>85.0</v>
      </c>
      <c r="E776" s="6" t="s">
        <v>12</v>
      </c>
      <c r="F776" s="11"/>
      <c r="G776" s="11"/>
      <c r="H776" s="6" t="s">
        <v>383</v>
      </c>
      <c r="I776" s="10" t="str">
        <f t="shared" si="1"/>
        <v>_2025_</v>
      </c>
      <c r="J776" s="10" t="str">
        <f t="shared" si="2"/>
        <v>_10_</v>
      </c>
    </row>
    <row r="777">
      <c r="A777" s="5">
        <v>45946.0</v>
      </c>
      <c r="B777" s="6" t="s">
        <v>20</v>
      </c>
      <c r="C777" s="6" t="s">
        <v>35</v>
      </c>
      <c r="D777" s="7">
        <v>60.0</v>
      </c>
      <c r="E777" s="6" t="s">
        <v>12</v>
      </c>
      <c r="F777" s="11"/>
      <c r="G777" s="11"/>
      <c r="H777" s="6" t="s">
        <v>563</v>
      </c>
      <c r="I777" s="10" t="str">
        <f t="shared" si="1"/>
        <v>_2025_</v>
      </c>
      <c r="J777" s="10" t="str">
        <f t="shared" si="2"/>
        <v>_10_</v>
      </c>
    </row>
    <row r="778">
      <c r="A778" s="5">
        <v>45946.0</v>
      </c>
      <c r="B778" s="6" t="s">
        <v>42</v>
      </c>
      <c r="C778" s="6" t="s">
        <v>46</v>
      </c>
      <c r="D778" s="7">
        <v>200.0</v>
      </c>
      <c r="E778" s="6" t="s">
        <v>12</v>
      </c>
      <c r="F778" s="11"/>
      <c r="G778" s="11"/>
      <c r="H778" s="11"/>
      <c r="I778" s="10" t="str">
        <f t="shared" si="1"/>
        <v>_2025_</v>
      </c>
      <c r="J778" s="10" t="str">
        <f t="shared" si="2"/>
        <v>_10_</v>
      </c>
    </row>
    <row r="779">
      <c r="A779" s="5">
        <v>45946.0</v>
      </c>
      <c r="B779" s="6" t="s">
        <v>20</v>
      </c>
      <c r="C779" s="6" t="s">
        <v>32</v>
      </c>
      <c r="D779" s="7">
        <v>40.0</v>
      </c>
      <c r="E779" s="6" t="s">
        <v>12</v>
      </c>
      <c r="F779" s="11"/>
      <c r="G779" s="11"/>
      <c r="H779" s="6" t="s">
        <v>381</v>
      </c>
      <c r="I779" s="10" t="str">
        <f t="shared" si="1"/>
        <v>_2025_</v>
      </c>
      <c r="J779" s="10" t="str">
        <f t="shared" si="2"/>
        <v>_10_</v>
      </c>
    </row>
    <row r="780">
      <c r="A780" s="5">
        <v>45946.0</v>
      </c>
      <c r="B780" s="6" t="s">
        <v>20</v>
      </c>
      <c r="C780" s="6" t="s">
        <v>25</v>
      </c>
      <c r="D780" s="7">
        <v>50.0</v>
      </c>
      <c r="E780" s="6" t="s">
        <v>12</v>
      </c>
      <c r="F780" s="11"/>
      <c r="G780" s="6" t="s">
        <v>177</v>
      </c>
      <c r="H780" s="11"/>
      <c r="I780" s="10" t="str">
        <f t="shared" si="1"/>
        <v>_2025_</v>
      </c>
      <c r="J780" s="10" t="str">
        <f t="shared" si="2"/>
        <v>_10_</v>
      </c>
    </row>
    <row r="781">
      <c r="A781" s="5">
        <v>45946.0</v>
      </c>
      <c r="B781" s="6" t="s">
        <v>20</v>
      </c>
      <c r="C781" s="6" t="s">
        <v>31</v>
      </c>
      <c r="D781" s="7">
        <v>58.0</v>
      </c>
      <c r="E781" s="6" t="s">
        <v>17</v>
      </c>
      <c r="F781" s="6" t="s">
        <v>18</v>
      </c>
      <c r="G781" s="6" t="s">
        <v>36</v>
      </c>
      <c r="H781" s="6" t="s">
        <v>469</v>
      </c>
      <c r="I781" s="10" t="str">
        <f t="shared" si="1"/>
        <v>_2025_</v>
      </c>
      <c r="J781" s="10" t="str">
        <f t="shared" si="2"/>
        <v>_10_</v>
      </c>
    </row>
    <row r="782">
      <c r="A782" s="5">
        <v>45946.0</v>
      </c>
      <c r="B782" s="6" t="s">
        <v>20</v>
      </c>
      <c r="C782" s="6" t="s">
        <v>35</v>
      </c>
      <c r="D782" s="7">
        <v>206.0</v>
      </c>
      <c r="E782" s="6" t="s">
        <v>17</v>
      </c>
      <c r="F782" s="6" t="s">
        <v>18</v>
      </c>
      <c r="G782" s="6" t="s">
        <v>36</v>
      </c>
      <c r="H782" s="6" t="s">
        <v>278</v>
      </c>
      <c r="I782" s="10" t="str">
        <f t="shared" si="1"/>
        <v>_2025_</v>
      </c>
      <c r="J782" s="10" t="str">
        <f t="shared" si="2"/>
        <v>_10_</v>
      </c>
    </row>
    <row r="783">
      <c r="A783" s="5">
        <v>45947.0</v>
      </c>
      <c r="B783" s="6" t="s">
        <v>27</v>
      </c>
      <c r="C783" s="6" t="s">
        <v>28</v>
      </c>
      <c r="D783" s="17">
        <f>139+139+154</f>
        <v>432</v>
      </c>
      <c r="E783" s="6" t="s">
        <v>17</v>
      </c>
      <c r="F783" s="6" t="s">
        <v>18</v>
      </c>
      <c r="G783" s="11"/>
      <c r="H783" s="6" t="s">
        <v>584</v>
      </c>
      <c r="I783" s="10" t="str">
        <f t="shared" si="1"/>
        <v>_2025_</v>
      </c>
      <c r="J783" s="10" t="str">
        <f t="shared" si="2"/>
        <v>_10_</v>
      </c>
    </row>
    <row r="784">
      <c r="A784" s="5">
        <v>45947.0</v>
      </c>
      <c r="B784" s="6" t="s">
        <v>27</v>
      </c>
      <c r="C784" s="6" t="s">
        <v>154</v>
      </c>
      <c r="D784" s="17">
        <f>2359-432</f>
        <v>1927</v>
      </c>
      <c r="E784" s="6" t="s">
        <v>17</v>
      </c>
      <c r="F784" s="6" t="s">
        <v>18</v>
      </c>
      <c r="G784" s="11"/>
      <c r="H784" s="6" t="s">
        <v>585</v>
      </c>
      <c r="I784" s="10" t="str">
        <f t="shared" si="1"/>
        <v>_2025_</v>
      </c>
      <c r="J784" s="10" t="str">
        <f t="shared" si="2"/>
        <v>_10_</v>
      </c>
    </row>
    <row r="785">
      <c r="A785" s="5">
        <v>45948.0</v>
      </c>
      <c r="B785" s="6" t="s">
        <v>15</v>
      </c>
      <c r="C785" s="6" t="s">
        <v>21</v>
      </c>
      <c r="D785" s="7">
        <v>337.0</v>
      </c>
      <c r="E785" s="6" t="s">
        <v>55</v>
      </c>
      <c r="F785" s="6" t="s">
        <v>334</v>
      </c>
      <c r="G785" s="11"/>
      <c r="H785" s="6" t="s">
        <v>586</v>
      </c>
      <c r="I785" s="10" t="str">
        <f t="shared" si="1"/>
        <v>_2025_</v>
      </c>
      <c r="J785" s="10" t="str">
        <f t="shared" si="2"/>
        <v>_10_</v>
      </c>
    </row>
    <row r="786">
      <c r="A786" s="5">
        <v>45948.0</v>
      </c>
      <c r="B786" s="6" t="s">
        <v>20</v>
      </c>
      <c r="C786" s="6" t="s">
        <v>25</v>
      </c>
      <c r="D786" s="7">
        <v>205.6</v>
      </c>
      <c r="E786" s="6" t="s">
        <v>55</v>
      </c>
      <c r="F786" s="6" t="s">
        <v>334</v>
      </c>
      <c r="G786" s="11"/>
      <c r="H786" s="6" t="s">
        <v>89</v>
      </c>
      <c r="I786" s="10" t="str">
        <f t="shared" si="1"/>
        <v>_2025_</v>
      </c>
      <c r="J786" s="10" t="str">
        <f t="shared" si="2"/>
        <v>_10_</v>
      </c>
    </row>
    <row r="787">
      <c r="A787" s="5">
        <v>45949.0</v>
      </c>
      <c r="B787" s="6" t="s">
        <v>42</v>
      </c>
      <c r="C787" s="6" t="s">
        <v>43</v>
      </c>
      <c r="D787" s="7">
        <v>1200.0</v>
      </c>
      <c r="E787" s="6" t="s">
        <v>12</v>
      </c>
      <c r="F787" s="11"/>
      <c r="G787" s="11"/>
      <c r="H787" s="6" t="s">
        <v>587</v>
      </c>
      <c r="I787" s="10" t="str">
        <f t="shared" si="1"/>
        <v>_2025_</v>
      </c>
      <c r="J787" s="10" t="str">
        <f t="shared" si="2"/>
        <v>_10_</v>
      </c>
    </row>
    <row r="788">
      <c r="A788" s="5">
        <v>45950.0</v>
      </c>
      <c r="B788" s="6" t="s">
        <v>10</v>
      </c>
      <c r="C788" s="6" t="s">
        <v>588</v>
      </c>
      <c r="D788" s="7">
        <v>20436.0</v>
      </c>
      <c r="E788" s="6" t="s">
        <v>17</v>
      </c>
      <c r="F788" s="6" t="s">
        <v>18</v>
      </c>
      <c r="G788" s="11"/>
      <c r="H788" s="6" t="s">
        <v>589</v>
      </c>
      <c r="I788" s="10" t="str">
        <f t="shared" si="1"/>
        <v>_2025_</v>
      </c>
      <c r="J788" s="10" t="str">
        <f t="shared" si="2"/>
        <v>_10_</v>
      </c>
    </row>
    <row r="789">
      <c r="A789" s="5">
        <v>45949.0</v>
      </c>
      <c r="B789" s="6" t="s">
        <v>20</v>
      </c>
      <c r="C789" s="6" t="s">
        <v>35</v>
      </c>
      <c r="D789" s="7">
        <v>60.0</v>
      </c>
      <c r="E789" s="6" t="s">
        <v>12</v>
      </c>
      <c r="F789" s="11"/>
      <c r="G789" s="11"/>
      <c r="H789" s="6" t="s">
        <v>427</v>
      </c>
      <c r="I789" s="10" t="str">
        <f t="shared" si="1"/>
        <v>_2025_</v>
      </c>
      <c r="J789" s="10" t="str">
        <f t="shared" si="2"/>
        <v>_10_</v>
      </c>
    </row>
    <row r="790">
      <c r="A790" s="5">
        <v>45949.0</v>
      </c>
      <c r="B790" s="6" t="s">
        <v>20</v>
      </c>
      <c r="C790" s="6" t="s">
        <v>31</v>
      </c>
      <c r="D790" s="7">
        <v>99.0</v>
      </c>
      <c r="E790" s="6" t="s">
        <v>12</v>
      </c>
      <c r="F790" s="11"/>
      <c r="G790" s="11"/>
      <c r="H790" s="6" t="s">
        <v>590</v>
      </c>
      <c r="I790" s="10" t="str">
        <f t="shared" si="1"/>
        <v>_2025_</v>
      </c>
      <c r="J790" s="10" t="str">
        <f t="shared" si="2"/>
        <v>_10_</v>
      </c>
    </row>
    <row r="791">
      <c r="A791" s="5">
        <v>45949.0</v>
      </c>
      <c r="B791" s="6" t="s">
        <v>20</v>
      </c>
      <c r="C791" s="6" t="s">
        <v>25</v>
      </c>
      <c r="D791" s="17">
        <f>170-60</f>
        <v>110</v>
      </c>
      <c r="E791" s="6" t="s">
        <v>12</v>
      </c>
      <c r="F791" s="11"/>
      <c r="G791" s="11"/>
      <c r="H791" s="6" t="s">
        <v>383</v>
      </c>
      <c r="I791" s="10" t="str">
        <f t="shared" si="1"/>
        <v>_2025_</v>
      </c>
      <c r="J791" s="10" t="str">
        <f t="shared" si="2"/>
        <v>_10_</v>
      </c>
    </row>
    <row r="792">
      <c r="A792" s="5">
        <v>45949.0</v>
      </c>
      <c r="B792" s="6" t="s">
        <v>27</v>
      </c>
      <c r="C792" s="6" t="s">
        <v>21</v>
      </c>
      <c r="D792" s="7">
        <v>30.0</v>
      </c>
      <c r="E792" s="6" t="s">
        <v>12</v>
      </c>
      <c r="F792" s="11"/>
      <c r="G792" s="11"/>
      <c r="H792" s="6" t="s">
        <v>591</v>
      </c>
      <c r="I792" s="10" t="str">
        <f t="shared" si="1"/>
        <v>_2025_</v>
      </c>
      <c r="J792" s="10" t="str">
        <f t="shared" si="2"/>
        <v>_10_</v>
      </c>
    </row>
    <row r="793">
      <c r="A793" s="5">
        <v>45950.0</v>
      </c>
      <c r="B793" s="6" t="s">
        <v>20</v>
      </c>
      <c r="C793" s="6" t="s">
        <v>25</v>
      </c>
      <c r="D793" s="7">
        <v>85.0</v>
      </c>
      <c r="E793" s="6" t="s">
        <v>12</v>
      </c>
      <c r="F793" s="11"/>
      <c r="G793" s="11"/>
      <c r="H793" s="6" t="s">
        <v>383</v>
      </c>
      <c r="I793" s="10" t="str">
        <f t="shared" si="1"/>
        <v>_2025_</v>
      </c>
      <c r="J793" s="10" t="str">
        <f t="shared" si="2"/>
        <v>_10_</v>
      </c>
    </row>
    <row r="794">
      <c r="A794" s="5">
        <v>45950.0</v>
      </c>
      <c r="B794" s="6" t="s">
        <v>20</v>
      </c>
      <c r="C794" s="6" t="s">
        <v>305</v>
      </c>
      <c r="D794" s="17">
        <f>1068/2</f>
        <v>534</v>
      </c>
      <c r="E794" s="6" t="s">
        <v>12</v>
      </c>
      <c r="F794" s="11"/>
      <c r="G794" s="11"/>
      <c r="H794" s="6" t="s">
        <v>592</v>
      </c>
      <c r="I794" s="10" t="str">
        <f t="shared" si="1"/>
        <v>_2025_</v>
      </c>
      <c r="J794" s="10" t="str">
        <f t="shared" si="2"/>
        <v>_10_</v>
      </c>
    </row>
    <row r="795">
      <c r="A795" s="5">
        <v>45950.0</v>
      </c>
      <c r="B795" s="6" t="s">
        <v>20</v>
      </c>
      <c r="C795" s="6" t="s">
        <v>31</v>
      </c>
      <c r="D795" s="7">
        <v>10.0</v>
      </c>
      <c r="E795" s="6" t="s">
        <v>12</v>
      </c>
      <c r="F795" s="11"/>
      <c r="G795" s="11"/>
      <c r="H795" s="6" t="s">
        <v>593</v>
      </c>
      <c r="I795" s="10" t="str">
        <f t="shared" si="1"/>
        <v>_2025_</v>
      </c>
      <c r="J795" s="10" t="str">
        <f t="shared" si="2"/>
        <v>_10_</v>
      </c>
    </row>
    <row r="796">
      <c r="A796" s="5">
        <v>45950.0</v>
      </c>
      <c r="B796" s="6" t="s">
        <v>62</v>
      </c>
      <c r="C796" s="6" t="s">
        <v>86</v>
      </c>
      <c r="D796" s="7">
        <v>184.07</v>
      </c>
      <c r="E796" s="6" t="s">
        <v>12</v>
      </c>
      <c r="F796" s="11"/>
      <c r="G796" s="11"/>
      <c r="H796" s="6" t="s">
        <v>320</v>
      </c>
      <c r="I796" s="10" t="str">
        <f t="shared" si="1"/>
        <v>_2025_</v>
      </c>
      <c r="J796" s="10" t="str">
        <f t="shared" si="2"/>
        <v>_10_</v>
      </c>
    </row>
    <row r="797">
      <c r="A797" s="5">
        <v>45949.0</v>
      </c>
      <c r="B797" s="6" t="s">
        <v>27</v>
      </c>
      <c r="C797" s="6" t="s">
        <v>116</v>
      </c>
      <c r="D797" s="7">
        <v>157.0</v>
      </c>
      <c r="E797" s="6" t="s">
        <v>17</v>
      </c>
      <c r="F797" s="6" t="s">
        <v>18</v>
      </c>
      <c r="G797" s="11"/>
      <c r="H797" s="6" t="s">
        <v>594</v>
      </c>
      <c r="I797" s="10" t="str">
        <f t="shared" si="1"/>
        <v>_2025_</v>
      </c>
      <c r="J797" s="10" t="str">
        <f t="shared" si="2"/>
        <v>_10_</v>
      </c>
    </row>
    <row r="798">
      <c r="A798" s="5">
        <v>45949.0</v>
      </c>
      <c r="B798" s="6" t="s">
        <v>39</v>
      </c>
      <c r="C798" s="6" t="s">
        <v>532</v>
      </c>
      <c r="D798" s="17">
        <f>1174-157</f>
        <v>1017</v>
      </c>
      <c r="E798" s="6" t="s">
        <v>17</v>
      </c>
      <c r="F798" s="6" t="s">
        <v>18</v>
      </c>
      <c r="G798" s="11"/>
      <c r="H798" s="6" t="s">
        <v>595</v>
      </c>
      <c r="I798" s="10" t="str">
        <f t="shared" si="1"/>
        <v>_2025_</v>
      </c>
      <c r="J798" s="10" t="str">
        <f t="shared" si="2"/>
        <v>_10_</v>
      </c>
    </row>
    <row r="799">
      <c r="A799" s="5">
        <v>45947.0</v>
      </c>
      <c r="B799" s="6" t="s">
        <v>20</v>
      </c>
      <c r="C799" s="6" t="s">
        <v>65</v>
      </c>
      <c r="D799" s="7">
        <v>1284.0</v>
      </c>
      <c r="E799" s="6" t="s">
        <v>12</v>
      </c>
      <c r="F799" s="11"/>
      <c r="G799" s="6" t="s">
        <v>84</v>
      </c>
      <c r="H799" s="6" t="s">
        <v>596</v>
      </c>
      <c r="I799" s="10" t="str">
        <f t="shared" si="1"/>
        <v>_2025_</v>
      </c>
      <c r="J799" s="10" t="str">
        <f t="shared" si="2"/>
        <v>_10_</v>
      </c>
    </row>
    <row r="800">
      <c r="A800" s="5">
        <v>45952.0</v>
      </c>
      <c r="B800" s="6" t="s">
        <v>20</v>
      </c>
      <c r="C800" s="6" t="s">
        <v>25</v>
      </c>
      <c r="D800" s="7">
        <v>153.0</v>
      </c>
      <c r="E800" s="6" t="s">
        <v>55</v>
      </c>
      <c r="F800" s="6" t="s">
        <v>334</v>
      </c>
      <c r="G800" s="6" t="s">
        <v>30</v>
      </c>
      <c r="H800" s="11"/>
      <c r="I800" s="10" t="str">
        <f t="shared" si="1"/>
        <v>_2025_</v>
      </c>
      <c r="J800" s="10" t="str">
        <f t="shared" si="2"/>
        <v>_10_</v>
      </c>
    </row>
    <row r="801">
      <c r="A801" s="5">
        <v>45951.0</v>
      </c>
      <c r="B801" s="6" t="s">
        <v>20</v>
      </c>
      <c r="C801" s="6" t="s">
        <v>25</v>
      </c>
      <c r="D801" s="7">
        <v>139.0</v>
      </c>
      <c r="E801" s="6" t="s">
        <v>17</v>
      </c>
      <c r="F801" s="6" t="s">
        <v>18</v>
      </c>
      <c r="G801" s="6" t="s">
        <v>82</v>
      </c>
      <c r="H801" s="6" t="s">
        <v>359</v>
      </c>
      <c r="I801" s="10" t="str">
        <f t="shared" si="1"/>
        <v>_2025_</v>
      </c>
      <c r="J801" s="10" t="str">
        <f t="shared" si="2"/>
        <v>_10_</v>
      </c>
    </row>
    <row r="802">
      <c r="A802" s="5">
        <v>45953.0</v>
      </c>
      <c r="B802" s="6" t="s">
        <v>20</v>
      </c>
      <c r="C802" s="6" t="s">
        <v>31</v>
      </c>
      <c r="D802" s="7">
        <v>37.0</v>
      </c>
      <c r="E802" s="6" t="s">
        <v>12</v>
      </c>
      <c r="F802" s="11"/>
      <c r="G802" s="11"/>
      <c r="H802" s="6" t="s">
        <v>597</v>
      </c>
      <c r="I802" s="10" t="str">
        <f t="shared" si="1"/>
        <v>_2025_</v>
      </c>
      <c r="J802" s="10" t="str">
        <f t="shared" si="2"/>
        <v>_10_</v>
      </c>
    </row>
    <row r="803">
      <c r="A803" s="5">
        <v>45952.0</v>
      </c>
      <c r="B803" s="6" t="s">
        <v>21</v>
      </c>
      <c r="C803" s="6" t="s">
        <v>21</v>
      </c>
      <c r="D803" s="7">
        <v>100.0</v>
      </c>
      <c r="E803" s="6" t="s">
        <v>12</v>
      </c>
      <c r="F803" s="11"/>
      <c r="G803" s="11"/>
      <c r="H803" s="6" t="s">
        <v>598</v>
      </c>
      <c r="I803" s="10" t="str">
        <f t="shared" si="1"/>
        <v>_2025_</v>
      </c>
      <c r="J803" s="10" t="str">
        <f t="shared" si="2"/>
        <v>_10_</v>
      </c>
    </row>
    <row r="804">
      <c r="A804" s="5">
        <v>45950.0</v>
      </c>
      <c r="B804" s="6" t="s">
        <v>20</v>
      </c>
      <c r="C804" s="6" t="s">
        <v>31</v>
      </c>
      <c r="D804" s="17">
        <f>30+101+61+86</f>
        <v>278</v>
      </c>
      <c r="E804" s="6" t="s">
        <v>12</v>
      </c>
      <c r="F804" s="11"/>
      <c r="G804" s="6" t="s">
        <v>47</v>
      </c>
      <c r="H804" s="6" t="s">
        <v>599</v>
      </c>
      <c r="I804" s="10" t="str">
        <f t="shared" si="1"/>
        <v>_2025_</v>
      </c>
      <c r="J804" s="10" t="str">
        <f t="shared" si="2"/>
        <v>_10_</v>
      </c>
    </row>
    <row r="805">
      <c r="A805" s="5">
        <v>45954.0</v>
      </c>
      <c r="B805" s="6" t="s">
        <v>21</v>
      </c>
      <c r="C805" s="6" t="s">
        <v>101</v>
      </c>
      <c r="D805" s="7">
        <v>8521.0</v>
      </c>
      <c r="E805" s="6" t="s">
        <v>12</v>
      </c>
      <c r="F805" s="11"/>
      <c r="G805" s="11"/>
      <c r="H805" s="6" t="s">
        <v>570</v>
      </c>
      <c r="I805" s="10" t="str">
        <f t="shared" si="1"/>
        <v>_2025_</v>
      </c>
      <c r="J805" s="10" t="str">
        <f t="shared" si="2"/>
        <v>_10_</v>
      </c>
    </row>
    <row r="806">
      <c r="A806" s="5">
        <v>45954.0</v>
      </c>
      <c r="B806" s="6" t="s">
        <v>21</v>
      </c>
      <c r="C806" s="6" t="s">
        <v>600</v>
      </c>
      <c r="D806" s="7">
        <v>2000.0</v>
      </c>
      <c r="E806" s="6" t="s">
        <v>12</v>
      </c>
      <c r="F806" s="11"/>
      <c r="G806" s="6" t="s">
        <v>433</v>
      </c>
      <c r="H806" s="6" t="s">
        <v>601</v>
      </c>
      <c r="I806" s="10" t="str">
        <f t="shared" si="1"/>
        <v>_2025_</v>
      </c>
      <c r="J806" s="10" t="str">
        <f t="shared" si="2"/>
        <v>_10_</v>
      </c>
    </row>
    <row r="807">
      <c r="A807" s="5">
        <v>45954.0</v>
      </c>
      <c r="B807" s="6" t="s">
        <v>42</v>
      </c>
      <c r="C807" s="6" t="s">
        <v>94</v>
      </c>
      <c r="D807" s="7">
        <v>650.0</v>
      </c>
      <c r="E807" s="6" t="s">
        <v>12</v>
      </c>
      <c r="F807" s="11"/>
      <c r="G807" s="11"/>
      <c r="H807" s="6" t="s">
        <v>602</v>
      </c>
      <c r="I807" s="10" t="str">
        <f t="shared" si="1"/>
        <v>_2025_</v>
      </c>
      <c r="J807" s="10" t="str">
        <f t="shared" si="2"/>
        <v>_10_</v>
      </c>
    </row>
    <row r="808">
      <c r="A808" s="5">
        <v>45954.0</v>
      </c>
      <c r="B808" s="6" t="s">
        <v>42</v>
      </c>
      <c r="C808" s="6" t="s">
        <v>96</v>
      </c>
      <c r="D808" s="7">
        <v>450.0</v>
      </c>
      <c r="E808" s="6" t="s">
        <v>12</v>
      </c>
      <c r="F808" s="11"/>
      <c r="G808" s="11"/>
      <c r="H808" s="6" t="s">
        <v>603</v>
      </c>
      <c r="I808" s="10" t="str">
        <f t="shared" si="1"/>
        <v>_2025_</v>
      </c>
      <c r="J808" s="10" t="str">
        <f t="shared" si="2"/>
        <v>_10_</v>
      </c>
    </row>
    <row r="809">
      <c r="A809" s="5">
        <v>45954.0</v>
      </c>
      <c r="B809" s="6" t="s">
        <v>20</v>
      </c>
      <c r="C809" s="6" t="s">
        <v>25</v>
      </c>
      <c r="D809" s="7">
        <f>50+30</f>
        <v>80</v>
      </c>
      <c r="E809" s="6" t="s">
        <v>12</v>
      </c>
      <c r="F809" s="6"/>
      <c r="G809" s="11"/>
      <c r="H809" s="6" t="s">
        <v>604</v>
      </c>
      <c r="I809" s="10" t="str">
        <f t="shared" si="1"/>
        <v>_2025_</v>
      </c>
      <c r="J809" s="10" t="str">
        <f t="shared" si="2"/>
        <v>_10_</v>
      </c>
    </row>
    <row r="810">
      <c r="A810" s="5">
        <v>45954.0</v>
      </c>
      <c r="B810" s="6" t="s">
        <v>20</v>
      </c>
      <c r="C810" s="6" t="s">
        <v>25</v>
      </c>
      <c r="D810" s="7">
        <v>190.0</v>
      </c>
      <c r="E810" s="6" t="s">
        <v>55</v>
      </c>
      <c r="F810" s="6" t="s">
        <v>334</v>
      </c>
      <c r="G810" s="6" t="s">
        <v>259</v>
      </c>
      <c r="H810" s="11"/>
      <c r="I810" s="10" t="str">
        <f t="shared" si="1"/>
        <v>_2025_</v>
      </c>
      <c r="J810" s="10" t="str">
        <f t="shared" si="2"/>
        <v>_10_</v>
      </c>
    </row>
    <row r="811">
      <c r="A811" s="5">
        <v>45955.0</v>
      </c>
      <c r="B811" s="6" t="s">
        <v>20</v>
      </c>
      <c r="C811" s="6" t="s">
        <v>25</v>
      </c>
      <c r="D811" s="7">
        <v>80.0</v>
      </c>
      <c r="E811" s="6" t="s">
        <v>12</v>
      </c>
      <c r="F811" s="11"/>
      <c r="G811" s="11"/>
      <c r="H811" s="6" t="s">
        <v>383</v>
      </c>
      <c r="I811" s="10" t="str">
        <f t="shared" si="1"/>
        <v>_2025_</v>
      </c>
      <c r="J811" s="10" t="str">
        <f t="shared" si="2"/>
        <v>_10_</v>
      </c>
    </row>
    <row r="812">
      <c r="A812" s="5">
        <v>45955.0</v>
      </c>
      <c r="B812" s="6" t="s">
        <v>20</v>
      </c>
      <c r="C812" s="6" t="s">
        <v>35</v>
      </c>
      <c r="D812" s="17">
        <f>80+55+27</f>
        <v>162</v>
      </c>
      <c r="E812" s="6" t="s">
        <v>12</v>
      </c>
      <c r="F812" s="11"/>
      <c r="G812" s="11"/>
      <c r="H812" s="6" t="s">
        <v>278</v>
      </c>
      <c r="I812" s="10" t="str">
        <f t="shared" si="1"/>
        <v>_2025_</v>
      </c>
      <c r="J812" s="10" t="str">
        <f t="shared" si="2"/>
        <v>_10_</v>
      </c>
    </row>
    <row r="813">
      <c r="A813" s="5">
        <v>45955.0</v>
      </c>
      <c r="B813" s="6" t="s">
        <v>20</v>
      </c>
      <c r="C813" s="6" t="s">
        <v>32</v>
      </c>
      <c r="D813" s="7">
        <v>40.0</v>
      </c>
      <c r="E813" s="6" t="s">
        <v>12</v>
      </c>
      <c r="F813" s="11"/>
      <c r="G813" s="6" t="s">
        <v>327</v>
      </c>
      <c r="H813" s="6" t="s">
        <v>328</v>
      </c>
      <c r="I813" s="10" t="str">
        <f t="shared" si="1"/>
        <v>_2025_</v>
      </c>
      <c r="J813" s="10" t="str">
        <f t="shared" si="2"/>
        <v>_10_</v>
      </c>
    </row>
    <row r="814">
      <c r="A814" s="5">
        <v>45956.0</v>
      </c>
      <c r="B814" s="6" t="s">
        <v>21</v>
      </c>
      <c r="C814" s="6" t="s">
        <v>21</v>
      </c>
      <c r="D814" s="7">
        <v>27.0</v>
      </c>
      <c r="E814" s="6" t="s">
        <v>12</v>
      </c>
      <c r="F814" s="11"/>
      <c r="G814" s="11"/>
      <c r="H814" s="6" t="s">
        <v>605</v>
      </c>
      <c r="I814" s="10" t="str">
        <f t="shared" si="1"/>
        <v>_2025_</v>
      </c>
      <c r="J814" s="10" t="str">
        <f t="shared" si="2"/>
        <v>_10_</v>
      </c>
    </row>
    <row r="815">
      <c r="A815" s="5">
        <v>45956.0</v>
      </c>
      <c r="B815" s="6" t="s">
        <v>20</v>
      </c>
      <c r="C815" s="6" t="s">
        <v>25</v>
      </c>
      <c r="D815" s="7">
        <v>85.0</v>
      </c>
      <c r="E815" s="6" t="s">
        <v>12</v>
      </c>
      <c r="F815" s="11"/>
      <c r="G815" s="6" t="s">
        <v>82</v>
      </c>
      <c r="H815" s="11"/>
      <c r="I815" s="10" t="str">
        <f t="shared" si="1"/>
        <v>_2025_</v>
      </c>
      <c r="J815" s="10" t="str">
        <f t="shared" si="2"/>
        <v>_10_</v>
      </c>
    </row>
    <row r="816">
      <c r="A816" s="5">
        <v>45956.0</v>
      </c>
      <c r="B816" s="6" t="s">
        <v>20</v>
      </c>
      <c r="C816" s="6" t="s">
        <v>32</v>
      </c>
      <c r="D816" s="7">
        <v>40.0</v>
      </c>
      <c r="E816" s="6" t="s">
        <v>12</v>
      </c>
      <c r="F816" s="11"/>
      <c r="G816" s="6" t="s">
        <v>327</v>
      </c>
      <c r="H816" s="6" t="s">
        <v>328</v>
      </c>
      <c r="I816" s="10" t="str">
        <f t="shared" si="1"/>
        <v>_2025_</v>
      </c>
      <c r="J816" s="10" t="str">
        <f t="shared" si="2"/>
        <v>_10_</v>
      </c>
    </row>
    <row r="817">
      <c r="A817" s="5">
        <v>45955.0</v>
      </c>
      <c r="B817" s="6" t="s">
        <v>27</v>
      </c>
      <c r="C817" s="6" t="s">
        <v>28</v>
      </c>
      <c r="D817" s="7">
        <v>142.0</v>
      </c>
      <c r="E817" s="6" t="s">
        <v>17</v>
      </c>
      <c r="F817" s="6" t="s">
        <v>334</v>
      </c>
      <c r="G817" s="6" t="s">
        <v>36</v>
      </c>
      <c r="H817" s="6" t="s">
        <v>606</v>
      </c>
      <c r="I817" s="10" t="str">
        <f t="shared" si="1"/>
        <v>_2025_</v>
      </c>
      <c r="J817" s="10" t="str">
        <f t="shared" si="2"/>
        <v>_10_</v>
      </c>
    </row>
    <row r="818">
      <c r="A818" s="5">
        <v>45955.0</v>
      </c>
      <c r="B818" s="6" t="s">
        <v>20</v>
      </c>
      <c r="C818" s="6" t="s">
        <v>35</v>
      </c>
      <c r="D818" s="7">
        <v>381.25</v>
      </c>
      <c r="E818" s="6" t="s">
        <v>17</v>
      </c>
      <c r="F818" s="6" t="s">
        <v>334</v>
      </c>
      <c r="G818" s="6" t="s">
        <v>36</v>
      </c>
      <c r="H818" s="11"/>
      <c r="I818" s="10" t="str">
        <f t="shared" si="1"/>
        <v>_2025_</v>
      </c>
      <c r="J818" s="10" t="str">
        <f t="shared" si="2"/>
        <v>_10_</v>
      </c>
    </row>
    <row r="819">
      <c r="A819" s="5">
        <v>45956.0</v>
      </c>
      <c r="B819" s="6" t="s">
        <v>20</v>
      </c>
      <c r="C819" s="6" t="s">
        <v>35</v>
      </c>
      <c r="D819" s="17">
        <f>45+25+50</f>
        <v>120</v>
      </c>
      <c r="E819" s="6" t="s">
        <v>12</v>
      </c>
      <c r="F819" s="11"/>
      <c r="G819" s="11"/>
      <c r="H819" s="6" t="s">
        <v>278</v>
      </c>
      <c r="I819" s="10" t="str">
        <f t="shared" si="1"/>
        <v>_2025_</v>
      </c>
      <c r="J819" s="10" t="str">
        <f t="shared" si="2"/>
        <v>_10_</v>
      </c>
    </row>
    <row r="820">
      <c r="A820" s="5">
        <v>45956.0</v>
      </c>
      <c r="B820" s="6" t="s">
        <v>15</v>
      </c>
      <c r="C820" s="6" t="s">
        <v>144</v>
      </c>
      <c r="D820" s="7">
        <v>1000.0</v>
      </c>
      <c r="E820" s="6" t="s">
        <v>12</v>
      </c>
      <c r="F820" s="6" t="s">
        <v>334</v>
      </c>
      <c r="G820" s="11"/>
      <c r="H820" s="6" t="s">
        <v>607</v>
      </c>
      <c r="I820" s="10" t="str">
        <f t="shared" si="1"/>
        <v>_2025_</v>
      </c>
      <c r="J820" s="10" t="str">
        <f t="shared" si="2"/>
        <v>_10_</v>
      </c>
    </row>
    <row r="821">
      <c r="A821" s="5">
        <v>45957.0</v>
      </c>
      <c r="B821" s="6" t="s">
        <v>15</v>
      </c>
      <c r="C821" s="6" t="s">
        <v>144</v>
      </c>
      <c r="D821" s="7">
        <v>1883.2</v>
      </c>
      <c r="E821" s="6" t="s">
        <v>12</v>
      </c>
      <c r="F821" s="6" t="s">
        <v>334</v>
      </c>
      <c r="G821" s="11"/>
      <c r="H821" s="6" t="s">
        <v>608</v>
      </c>
      <c r="I821" s="10" t="str">
        <f t="shared" si="1"/>
        <v>_2025_</v>
      </c>
      <c r="J821" s="10" t="str">
        <f t="shared" si="2"/>
        <v>_10_</v>
      </c>
    </row>
    <row r="822">
      <c r="A822" s="5">
        <v>45959.0</v>
      </c>
      <c r="B822" s="6" t="s">
        <v>39</v>
      </c>
      <c r="C822" s="6" t="s">
        <v>544</v>
      </c>
      <c r="D822" s="7">
        <v>719.0</v>
      </c>
      <c r="E822" s="6" t="s">
        <v>55</v>
      </c>
      <c r="F822" s="6" t="s">
        <v>334</v>
      </c>
      <c r="G822" s="11"/>
      <c r="H822" s="11"/>
      <c r="I822" s="10" t="str">
        <f t="shared" si="1"/>
        <v>_2025_</v>
      </c>
      <c r="J822" s="10" t="str">
        <f t="shared" si="2"/>
        <v>_10_</v>
      </c>
    </row>
    <row r="823">
      <c r="A823" s="5">
        <v>45960.0</v>
      </c>
      <c r="B823" s="6" t="s">
        <v>20</v>
      </c>
      <c r="C823" s="6" t="s">
        <v>25</v>
      </c>
      <c r="D823" s="7">
        <v>372.0</v>
      </c>
      <c r="E823" s="6" t="s">
        <v>55</v>
      </c>
      <c r="F823" s="6" t="s">
        <v>334</v>
      </c>
      <c r="G823" s="6" t="s">
        <v>229</v>
      </c>
      <c r="H823" s="11"/>
      <c r="I823" s="10" t="str">
        <f t="shared" si="1"/>
        <v>_2025_</v>
      </c>
      <c r="J823" s="10" t="str">
        <f t="shared" si="2"/>
        <v>_10_</v>
      </c>
    </row>
    <row r="824">
      <c r="A824" s="5">
        <v>45959.0</v>
      </c>
      <c r="B824" s="6" t="s">
        <v>20</v>
      </c>
      <c r="C824" s="6" t="s">
        <v>25</v>
      </c>
      <c r="D824" s="7">
        <v>50.0</v>
      </c>
      <c r="E824" s="6" t="s">
        <v>12</v>
      </c>
      <c r="F824" s="11"/>
      <c r="G824" s="6" t="s">
        <v>177</v>
      </c>
      <c r="H824" s="11"/>
      <c r="I824" s="10" t="str">
        <f t="shared" si="1"/>
        <v>_2025_</v>
      </c>
      <c r="J824" s="10" t="str">
        <f t="shared" si="2"/>
        <v>_10_</v>
      </c>
    </row>
    <row r="825">
      <c r="A825" s="5">
        <v>45959.0</v>
      </c>
      <c r="B825" s="6" t="s">
        <v>20</v>
      </c>
      <c r="C825" s="6" t="s">
        <v>31</v>
      </c>
      <c r="D825" s="7">
        <v>36.0</v>
      </c>
      <c r="E825" s="6" t="s">
        <v>12</v>
      </c>
      <c r="F825" s="11"/>
      <c r="G825" s="6" t="s">
        <v>327</v>
      </c>
      <c r="H825" s="11"/>
      <c r="I825" s="10" t="str">
        <f t="shared" si="1"/>
        <v>_2025_</v>
      </c>
      <c r="J825" s="10" t="str">
        <f t="shared" si="2"/>
        <v>_10_</v>
      </c>
    </row>
    <row r="826">
      <c r="A826" s="5">
        <v>45957.0</v>
      </c>
      <c r="B826" s="6" t="s">
        <v>15</v>
      </c>
      <c r="C826" s="6" t="s">
        <v>249</v>
      </c>
      <c r="D826" s="7">
        <v>50.0</v>
      </c>
      <c r="E826" s="6" t="s">
        <v>12</v>
      </c>
      <c r="F826" s="11"/>
      <c r="G826" s="11"/>
      <c r="H826" s="6" t="s">
        <v>609</v>
      </c>
      <c r="I826" s="10" t="str">
        <f t="shared" si="1"/>
        <v>_2025_</v>
      </c>
      <c r="J826" s="10" t="str">
        <f t="shared" si="2"/>
        <v>_10_</v>
      </c>
    </row>
    <row r="827">
      <c r="A827" s="5">
        <v>45957.0</v>
      </c>
      <c r="B827" s="6" t="s">
        <v>20</v>
      </c>
      <c r="C827" s="6" t="s">
        <v>31</v>
      </c>
      <c r="D827" s="17">
        <f>110+94</f>
        <v>204</v>
      </c>
      <c r="E827" s="6" t="s">
        <v>12</v>
      </c>
      <c r="F827" s="11"/>
      <c r="G827" s="6" t="s">
        <v>47</v>
      </c>
      <c r="H827" s="6" t="s">
        <v>610</v>
      </c>
      <c r="I827" s="10" t="str">
        <f t="shared" si="1"/>
        <v>_2025_</v>
      </c>
      <c r="J827" s="10" t="str">
        <f t="shared" si="2"/>
        <v>_10_</v>
      </c>
    </row>
    <row r="828">
      <c r="A828" s="20"/>
      <c r="B828" s="11"/>
      <c r="C828" s="11"/>
      <c r="D828" s="17"/>
      <c r="E828" s="11"/>
      <c r="F828" s="11"/>
      <c r="G828" s="11"/>
      <c r="H828" s="11"/>
      <c r="I828" s="10" t="str">
        <f t="shared" si="1"/>
        <v/>
      </c>
      <c r="J828" s="10" t="str">
        <f t="shared" si="2"/>
        <v/>
      </c>
    </row>
    <row r="829">
      <c r="A829" s="20"/>
      <c r="B829" s="11"/>
      <c r="C829" s="11"/>
      <c r="D829" s="17"/>
      <c r="E829" s="11"/>
      <c r="F829" s="11"/>
      <c r="G829" s="11"/>
      <c r="H829" s="11"/>
      <c r="I829" s="10" t="str">
        <f t="shared" si="1"/>
        <v/>
      </c>
      <c r="J829" s="10" t="str">
        <f t="shared" si="2"/>
        <v/>
      </c>
    </row>
    <row r="830">
      <c r="A830" s="20"/>
      <c r="B830" s="11"/>
      <c r="C830" s="11"/>
      <c r="D830" s="17"/>
      <c r="E830" s="11"/>
      <c r="F830" s="11"/>
      <c r="G830" s="11"/>
      <c r="H830" s="11"/>
      <c r="I830" s="10" t="str">
        <f t="shared" si="1"/>
        <v/>
      </c>
      <c r="J830" s="10" t="str">
        <f t="shared" si="2"/>
        <v/>
      </c>
    </row>
    <row r="831">
      <c r="A831" s="20"/>
      <c r="B831" s="11"/>
      <c r="C831" s="11"/>
      <c r="D831" s="17"/>
      <c r="E831" s="11"/>
      <c r="F831" s="11"/>
      <c r="G831" s="11"/>
      <c r="H831" s="11"/>
      <c r="I831" s="10" t="str">
        <f t="shared" si="1"/>
        <v/>
      </c>
      <c r="J831" s="10" t="str">
        <f t="shared" si="2"/>
        <v/>
      </c>
    </row>
    <row r="832">
      <c r="A832" s="20"/>
      <c r="B832" s="11"/>
      <c r="C832" s="11"/>
      <c r="D832" s="17"/>
      <c r="E832" s="11"/>
      <c r="F832" s="11"/>
      <c r="G832" s="11"/>
      <c r="H832" s="11"/>
      <c r="I832" s="10" t="str">
        <f t="shared" si="1"/>
        <v/>
      </c>
      <c r="J832" s="10" t="str">
        <f t="shared" si="2"/>
        <v/>
      </c>
    </row>
    <row r="833">
      <c r="A833" s="20"/>
      <c r="B833" s="11"/>
      <c r="C833" s="11"/>
      <c r="D833" s="17"/>
      <c r="E833" s="11"/>
      <c r="F833" s="11"/>
      <c r="G833" s="11"/>
      <c r="H833" s="11"/>
      <c r="I833" s="10" t="str">
        <f t="shared" si="1"/>
        <v/>
      </c>
      <c r="J833" s="10" t="str">
        <f t="shared" si="2"/>
        <v/>
      </c>
    </row>
    <row r="834">
      <c r="A834" s="20"/>
      <c r="B834" s="11"/>
      <c r="C834" s="11"/>
      <c r="D834" s="17"/>
      <c r="E834" s="11"/>
      <c r="F834" s="11"/>
      <c r="G834" s="11"/>
      <c r="H834" s="11"/>
      <c r="I834" s="10" t="str">
        <f t="shared" si="1"/>
        <v/>
      </c>
      <c r="J834" s="10" t="str">
        <f t="shared" si="2"/>
        <v/>
      </c>
    </row>
    <row r="835">
      <c r="A835" s="20"/>
      <c r="B835" s="11"/>
      <c r="C835" s="11"/>
      <c r="D835" s="17"/>
      <c r="E835" s="11"/>
      <c r="F835" s="11"/>
      <c r="G835" s="11"/>
      <c r="H835" s="11"/>
      <c r="I835" s="10" t="str">
        <f t="shared" si="1"/>
        <v/>
      </c>
      <c r="J835" s="10" t="str">
        <f t="shared" si="2"/>
        <v/>
      </c>
    </row>
    <row r="836">
      <c r="A836" s="20"/>
      <c r="B836" s="11"/>
      <c r="C836" s="11"/>
      <c r="D836" s="17"/>
      <c r="E836" s="11"/>
      <c r="F836" s="11"/>
      <c r="G836" s="11"/>
      <c r="H836" s="11"/>
      <c r="I836" s="10" t="str">
        <f t="shared" si="1"/>
        <v/>
      </c>
      <c r="J836" s="10" t="str">
        <f t="shared" si="2"/>
        <v/>
      </c>
    </row>
    <row r="837">
      <c r="A837" s="20"/>
      <c r="B837" s="11"/>
      <c r="C837" s="11"/>
      <c r="D837" s="17"/>
      <c r="E837" s="11"/>
      <c r="F837" s="11"/>
      <c r="G837" s="11"/>
      <c r="H837" s="11"/>
      <c r="I837" s="10" t="str">
        <f t="shared" si="1"/>
        <v/>
      </c>
      <c r="J837" s="10" t="str">
        <f t="shared" si="2"/>
        <v/>
      </c>
    </row>
    <row r="838">
      <c r="A838" s="20"/>
      <c r="B838" s="11"/>
      <c r="C838" s="11"/>
      <c r="D838" s="17"/>
      <c r="E838" s="11"/>
      <c r="F838" s="11"/>
      <c r="G838" s="11"/>
      <c r="H838" s="11"/>
      <c r="I838" s="10" t="str">
        <f t="shared" si="1"/>
        <v/>
      </c>
      <c r="J838" s="10" t="str">
        <f t="shared" si="2"/>
        <v/>
      </c>
    </row>
    <row r="839">
      <c r="A839" s="20"/>
      <c r="B839" s="11"/>
      <c r="C839" s="11"/>
      <c r="D839" s="17"/>
      <c r="E839" s="11"/>
      <c r="F839" s="11"/>
      <c r="G839" s="11"/>
      <c r="H839" s="11"/>
      <c r="I839" s="10" t="str">
        <f t="shared" si="1"/>
        <v/>
      </c>
      <c r="J839" s="10" t="str">
        <f t="shared" si="2"/>
        <v/>
      </c>
    </row>
    <row r="840">
      <c r="A840" s="20"/>
      <c r="B840" s="11"/>
      <c r="C840" s="11"/>
      <c r="D840" s="17"/>
      <c r="E840" s="11"/>
      <c r="F840" s="11"/>
      <c r="G840" s="11"/>
      <c r="H840" s="11"/>
      <c r="I840" s="10" t="str">
        <f t="shared" si="1"/>
        <v/>
      </c>
      <c r="J840" s="10" t="str">
        <f t="shared" si="2"/>
        <v/>
      </c>
    </row>
    <row r="841">
      <c r="A841" s="20"/>
      <c r="B841" s="11"/>
      <c r="C841" s="11"/>
      <c r="D841" s="17"/>
      <c r="E841" s="11"/>
      <c r="F841" s="11"/>
      <c r="G841" s="11"/>
      <c r="H841" s="11"/>
      <c r="I841" s="10" t="str">
        <f t="shared" si="1"/>
        <v/>
      </c>
      <c r="J841" s="10" t="str">
        <f t="shared" si="2"/>
        <v/>
      </c>
    </row>
    <row r="842">
      <c r="A842" s="20"/>
      <c r="B842" s="11"/>
      <c r="C842" s="11"/>
      <c r="D842" s="17"/>
      <c r="E842" s="11"/>
      <c r="F842" s="11"/>
      <c r="G842" s="11"/>
      <c r="H842" s="11"/>
      <c r="I842" s="10" t="str">
        <f t="shared" si="1"/>
        <v/>
      </c>
      <c r="J842" s="10" t="str">
        <f t="shared" si="2"/>
        <v/>
      </c>
    </row>
    <row r="843">
      <c r="A843" s="20"/>
      <c r="B843" s="11"/>
      <c r="C843" s="11"/>
      <c r="D843" s="17"/>
      <c r="E843" s="11"/>
      <c r="F843" s="11"/>
      <c r="G843" s="11"/>
      <c r="H843" s="11"/>
      <c r="I843" s="10" t="str">
        <f t="shared" si="1"/>
        <v/>
      </c>
      <c r="J843" s="10" t="str">
        <f t="shared" si="2"/>
        <v/>
      </c>
    </row>
    <row r="844">
      <c r="A844" s="20"/>
      <c r="B844" s="11"/>
      <c r="C844" s="11"/>
      <c r="D844" s="17"/>
      <c r="E844" s="11"/>
      <c r="F844" s="11"/>
      <c r="G844" s="11"/>
      <c r="H844" s="11"/>
      <c r="I844" s="10" t="str">
        <f t="shared" si="1"/>
        <v/>
      </c>
      <c r="J844" s="10" t="str">
        <f t="shared" si="2"/>
        <v/>
      </c>
    </row>
    <row r="845">
      <c r="A845" s="20"/>
      <c r="B845" s="11"/>
      <c r="C845" s="11"/>
      <c r="D845" s="17"/>
      <c r="E845" s="11"/>
      <c r="F845" s="11"/>
      <c r="G845" s="11"/>
      <c r="H845" s="11"/>
      <c r="I845" s="10" t="str">
        <f t="shared" si="1"/>
        <v/>
      </c>
      <c r="J845" s="10" t="str">
        <f t="shared" si="2"/>
        <v/>
      </c>
    </row>
    <row r="846">
      <c r="A846" s="20"/>
      <c r="B846" s="11"/>
      <c r="C846" s="11"/>
      <c r="D846" s="17"/>
      <c r="E846" s="11"/>
      <c r="F846" s="11"/>
      <c r="G846" s="11"/>
      <c r="H846" s="11"/>
      <c r="I846" s="10" t="str">
        <f t="shared" si="1"/>
        <v/>
      </c>
      <c r="J846" s="10" t="str">
        <f t="shared" si="2"/>
        <v/>
      </c>
    </row>
    <row r="847">
      <c r="A847" s="20"/>
      <c r="B847" s="11"/>
      <c r="C847" s="11"/>
      <c r="D847" s="17"/>
      <c r="E847" s="11"/>
      <c r="F847" s="11"/>
      <c r="G847" s="11"/>
      <c r="H847" s="11"/>
      <c r="I847" s="10" t="str">
        <f t="shared" si="1"/>
        <v/>
      </c>
      <c r="J847" s="10" t="str">
        <f t="shared" si="2"/>
        <v/>
      </c>
    </row>
    <row r="848">
      <c r="A848" s="20"/>
      <c r="B848" s="11"/>
      <c r="C848" s="11"/>
      <c r="D848" s="17"/>
      <c r="E848" s="11"/>
      <c r="F848" s="11"/>
      <c r="G848" s="11"/>
      <c r="H848" s="11"/>
      <c r="I848" s="10" t="str">
        <f t="shared" si="1"/>
        <v/>
      </c>
      <c r="J848" s="10" t="str">
        <f t="shared" si="2"/>
        <v/>
      </c>
    </row>
    <row r="849">
      <c r="A849" s="20"/>
      <c r="B849" s="11"/>
      <c r="C849" s="11"/>
      <c r="D849" s="17"/>
      <c r="E849" s="11"/>
      <c r="F849" s="11"/>
      <c r="G849" s="11"/>
      <c r="H849" s="11"/>
      <c r="I849" s="10" t="str">
        <f t="shared" si="1"/>
        <v/>
      </c>
      <c r="J849" s="10" t="str">
        <f t="shared" si="2"/>
        <v/>
      </c>
    </row>
    <row r="850">
      <c r="A850" s="20"/>
      <c r="B850" s="11"/>
      <c r="C850" s="11"/>
      <c r="D850" s="17"/>
      <c r="E850" s="11"/>
      <c r="F850" s="11"/>
      <c r="G850" s="11"/>
      <c r="H850" s="11"/>
      <c r="I850" s="10" t="str">
        <f t="shared" si="1"/>
        <v/>
      </c>
      <c r="J850" s="10" t="str">
        <f t="shared" si="2"/>
        <v/>
      </c>
    </row>
    <row r="851">
      <c r="A851" s="20"/>
      <c r="B851" s="11"/>
      <c r="C851" s="11"/>
      <c r="D851" s="17"/>
      <c r="E851" s="11"/>
      <c r="F851" s="11"/>
      <c r="G851" s="11"/>
      <c r="H851" s="11"/>
      <c r="I851" s="10" t="str">
        <f t="shared" si="1"/>
        <v/>
      </c>
      <c r="J851" s="10" t="str">
        <f t="shared" si="2"/>
        <v/>
      </c>
    </row>
    <row r="852">
      <c r="A852" s="20"/>
      <c r="B852" s="11"/>
      <c r="C852" s="11"/>
      <c r="D852" s="17"/>
      <c r="E852" s="11"/>
      <c r="F852" s="11"/>
      <c r="G852" s="11"/>
      <c r="H852" s="11"/>
      <c r="I852" s="10" t="str">
        <f t="shared" si="1"/>
        <v/>
      </c>
      <c r="J852" s="10" t="str">
        <f t="shared" si="2"/>
        <v/>
      </c>
    </row>
    <row r="853">
      <c r="A853" s="20"/>
      <c r="B853" s="11"/>
      <c r="C853" s="11"/>
      <c r="D853" s="17"/>
      <c r="E853" s="11"/>
      <c r="F853" s="11"/>
      <c r="G853" s="11"/>
      <c r="H853" s="11"/>
      <c r="I853" s="10" t="str">
        <f t="shared" si="1"/>
        <v/>
      </c>
      <c r="J853" s="10" t="str">
        <f t="shared" si="2"/>
        <v/>
      </c>
    </row>
    <row r="854">
      <c r="A854" s="20"/>
      <c r="B854" s="11"/>
      <c r="C854" s="11"/>
      <c r="D854" s="17"/>
      <c r="E854" s="11"/>
      <c r="F854" s="11"/>
      <c r="G854" s="11"/>
      <c r="H854" s="11"/>
      <c r="I854" s="10" t="str">
        <f t="shared" si="1"/>
        <v/>
      </c>
      <c r="J854" s="10" t="str">
        <f t="shared" si="2"/>
        <v/>
      </c>
    </row>
    <row r="855">
      <c r="A855" s="20"/>
      <c r="B855" s="11"/>
      <c r="C855" s="11"/>
      <c r="D855" s="17"/>
      <c r="E855" s="11"/>
      <c r="F855" s="11"/>
      <c r="G855" s="11"/>
      <c r="H855" s="11"/>
      <c r="I855" s="10" t="str">
        <f t="shared" si="1"/>
        <v/>
      </c>
      <c r="J855" s="10" t="str">
        <f t="shared" si="2"/>
        <v/>
      </c>
    </row>
    <row r="856">
      <c r="A856" s="20"/>
      <c r="B856" s="11"/>
      <c r="C856" s="11"/>
      <c r="D856" s="17"/>
      <c r="E856" s="11"/>
      <c r="F856" s="11"/>
      <c r="G856" s="11"/>
      <c r="H856" s="11"/>
      <c r="I856" s="10" t="str">
        <f t="shared" si="1"/>
        <v/>
      </c>
      <c r="J856" s="10" t="str">
        <f t="shared" si="2"/>
        <v/>
      </c>
    </row>
    <row r="857">
      <c r="A857" s="20"/>
      <c r="B857" s="11"/>
      <c r="C857" s="11"/>
      <c r="D857" s="17"/>
      <c r="E857" s="11"/>
      <c r="F857" s="11"/>
      <c r="G857" s="11"/>
      <c r="H857" s="11"/>
      <c r="I857" s="10" t="str">
        <f t="shared" si="1"/>
        <v/>
      </c>
      <c r="J857" s="10" t="str">
        <f t="shared" si="2"/>
        <v/>
      </c>
    </row>
    <row r="858">
      <c r="A858" s="20"/>
      <c r="B858" s="11"/>
      <c r="C858" s="11"/>
      <c r="D858" s="17"/>
      <c r="E858" s="11"/>
      <c r="F858" s="11"/>
      <c r="G858" s="11"/>
      <c r="H858" s="11"/>
      <c r="I858" s="10" t="str">
        <f t="shared" si="1"/>
        <v/>
      </c>
      <c r="J858" s="10" t="str">
        <f t="shared" si="2"/>
        <v/>
      </c>
    </row>
    <row r="859">
      <c r="A859" s="20"/>
      <c r="B859" s="11"/>
      <c r="C859" s="11"/>
      <c r="D859" s="17"/>
      <c r="E859" s="11"/>
      <c r="F859" s="11"/>
      <c r="G859" s="11"/>
      <c r="H859" s="11"/>
      <c r="I859" s="10" t="str">
        <f t="shared" si="1"/>
        <v/>
      </c>
      <c r="J859" s="10" t="str">
        <f t="shared" si="2"/>
        <v/>
      </c>
    </row>
    <row r="860">
      <c r="A860" s="20"/>
      <c r="B860" s="11"/>
      <c r="C860" s="11"/>
      <c r="D860" s="17"/>
      <c r="E860" s="11"/>
      <c r="F860" s="11"/>
      <c r="G860" s="11"/>
      <c r="H860" s="11"/>
      <c r="I860" s="10" t="str">
        <f t="shared" si="1"/>
        <v/>
      </c>
      <c r="J860" s="10" t="str">
        <f t="shared" si="2"/>
        <v/>
      </c>
    </row>
    <row r="861">
      <c r="A861" s="20"/>
      <c r="B861" s="11"/>
      <c r="C861" s="11"/>
      <c r="D861" s="17"/>
      <c r="E861" s="11"/>
      <c r="F861" s="11"/>
      <c r="G861" s="11"/>
      <c r="H861" s="11"/>
      <c r="I861" s="10" t="str">
        <f t="shared" si="1"/>
        <v/>
      </c>
      <c r="J861" s="10" t="str">
        <f t="shared" si="2"/>
        <v/>
      </c>
    </row>
    <row r="862">
      <c r="A862" s="20"/>
      <c r="B862" s="11"/>
      <c r="C862" s="11"/>
      <c r="D862" s="17"/>
      <c r="E862" s="11"/>
      <c r="F862" s="11"/>
      <c r="G862" s="11"/>
      <c r="H862" s="11"/>
      <c r="I862" s="10" t="str">
        <f t="shared" si="1"/>
        <v/>
      </c>
      <c r="J862" s="10" t="str">
        <f t="shared" si="2"/>
        <v/>
      </c>
    </row>
    <row r="863">
      <c r="A863" s="20"/>
      <c r="B863" s="11"/>
      <c r="C863" s="11"/>
      <c r="D863" s="17"/>
      <c r="E863" s="11"/>
      <c r="F863" s="11"/>
      <c r="G863" s="11"/>
      <c r="H863" s="11"/>
      <c r="I863" s="10" t="str">
        <f t="shared" si="1"/>
        <v/>
      </c>
      <c r="J863" s="10" t="str">
        <f t="shared" si="2"/>
        <v/>
      </c>
    </row>
    <row r="864">
      <c r="A864" s="20"/>
      <c r="B864" s="11"/>
      <c r="C864" s="11"/>
      <c r="D864" s="17"/>
      <c r="E864" s="11"/>
      <c r="F864" s="11"/>
      <c r="G864" s="11"/>
      <c r="H864" s="11"/>
      <c r="I864" s="10" t="str">
        <f t="shared" si="1"/>
        <v/>
      </c>
      <c r="J864" s="10" t="str">
        <f t="shared" si="2"/>
        <v/>
      </c>
    </row>
    <row r="865">
      <c r="A865" s="20"/>
      <c r="B865" s="11"/>
      <c r="C865" s="11"/>
      <c r="D865" s="17"/>
      <c r="E865" s="11"/>
      <c r="F865" s="11"/>
      <c r="G865" s="11"/>
      <c r="H865" s="11"/>
      <c r="I865" s="10" t="str">
        <f t="shared" si="1"/>
        <v/>
      </c>
      <c r="J865" s="10" t="str">
        <f t="shared" si="2"/>
        <v/>
      </c>
    </row>
    <row r="866">
      <c r="A866" s="20"/>
      <c r="B866" s="11"/>
      <c r="C866" s="11"/>
      <c r="D866" s="17"/>
      <c r="E866" s="11"/>
      <c r="F866" s="11"/>
      <c r="G866" s="11"/>
      <c r="H866" s="11"/>
      <c r="I866" s="10" t="str">
        <f t="shared" si="1"/>
        <v/>
      </c>
      <c r="J866" s="10" t="str">
        <f t="shared" si="2"/>
        <v/>
      </c>
    </row>
    <row r="867">
      <c r="A867" s="20"/>
      <c r="B867" s="11"/>
      <c r="C867" s="11"/>
      <c r="D867" s="17"/>
      <c r="E867" s="11"/>
      <c r="F867" s="11"/>
      <c r="G867" s="11"/>
      <c r="H867" s="11"/>
      <c r="I867" s="10" t="str">
        <f t="shared" si="1"/>
        <v/>
      </c>
      <c r="J867" s="10" t="str">
        <f t="shared" si="2"/>
        <v/>
      </c>
    </row>
    <row r="868">
      <c r="A868" s="20"/>
      <c r="B868" s="11"/>
      <c r="C868" s="11"/>
      <c r="D868" s="17"/>
      <c r="E868" s="11"/>
      <c r="F868" s="11"/>
      <c r="G868" s="11"/>
      <c r="H868" s="11"/>
      <c r="I868" s="10" t="str">
        <f t="shared" si="1"/>
        <v/>
      </c>
      <c r="J868" s="10" t="str">
        <f t="shared" si="2"/>
        <v/>
      </c>
    </row>
    <row r="869">
      <c r="A869" s="20"/>
      <c r="B869" s="11"/>
      <c r="C869" s="11"/>
      <c r="D869" s="17"/>
      <c r="E869" s="11"/>
      <c r="F869" s="11"/>
      <c r="G869" s="11"/>
      <c r="H869" s="11"/>
      <c r="I869" s="10" t="str">
        <f t="shared" si="1"/>
        <v/>
      </c>
      <c r="J869" s="10" t="str">
        <f t="shared" si="2"/>
        <v/>
      </c>
    </row>
    <row r="870">
      <c r="A870" s="20"/>
      <c r="B870" s="11"/>
      <c r="C870" s="11"/>
      <c r="D870" s="17"/>
      <c r="E870" s="11"/>
      <c r="F870" s="11"/>
      <c r="G870" s="11"/>
      <c r="H870" s="11"/>
      <c r="I870" s="10" t="str">
        <f t="shared" si="1"/>
        <v/>
      </c>
      <c r="J870" s="10" t="str">
        <f t="shared" si="2"/>
        <v/>
      </c>
    </row>
    <row r="871">
      <c r="A871" s="20"/>
      <c r="B871" s="11"/>
      <c r="C871" s="11"/>
      <c r="D871" s="17"/>
      <c r="E871" s="11"/>
      <c r="F871" s="11"/>
      <c r="G871" s="11"/>
      <c r="H871" s="11"/>
      <c r="I871" s="10" t="str">
        <f t="shared" si="1"/>
        <v/>
      </c>
      <c r="J871" s="10" t="str">
        <f t="shared" si="2"/>
        <v/>
      </c>
    </row>
    <row r="872">
      <c r="A872" s="20"/>
      <c r="B872" s="11"/>
      <c r="C872" s="11"/>
      <c r="D872" s="17"/>
      <c r="E872" s="11"/>
      <c r="F872" s="11"/>
      <c r="G872" s="11"/>
      <c r="H872" s="11"/>
      <c r="I872" s="10" t="str">
        <f t="shared" si="1"/>
        <v/>
      </c>
      <c r="J872" s="10" t="str">
        <f t="shared" si="2"/>
        <v/>
      </c>
    </row>
    <row r="873">
      <c r="A873" s="20"/>
      <c r="B873" s="11"/>
      <c r="C873" s="11"/>
      <c r="D873" s="17"/>
      <c r="E873" s="11"/>
      <c r="F873" s="11"/>
      <c r="G873" s="11"/>
      <c r="H873" s="11"/>
      <c r="I873" s="10" t="str">
        <f t="shared" si="1"/>
        <v/>
      </c>
      <c r="J873" s="10" t="str">
        <f t="shared" si="2"/>
        <v/>
      </c>
    </row>
    <row r="874">
      <c r="A874" s="20"/>
      <c r="B874" s="11"/>
      <c r="C874" s="11"/>
      <c r="D874" s="17"/>
      <c r="E874" s="11"/>
      <c r="F874" s="11"/>
      <c r="G874" s="11"/>
      <c r="H874" s="11"/>
      <c r="I874" s="10" t="str">
        <f t="shared" si="1"/>
        <v/>
      </c>
      <c r="J874" s="10" t="str">
        <f t="shared" si="2"/>
        <v/>
      </c>
    </row>
    <row r="875">
      <c r="A875" s="20"/>
      <c r="B875" s="11"/>
      <c r="C875" s="11"/>
      <c r="D875" s="17"/>
      <c r="E875" s="11"/>
      <c r="F875" s="11"/>
      <c r="G875" s="11"/>
      <c r="H875" s="11"/>
      <c r="I875" s="10" t="str">
        <f t="shared" si="1"/>
        <v/>
      </c>
      <c r="J875" s="10" t="str">
        <f t="shared" si="2"/>
        <v/>
      </c>
    </row>
    <row r="876">
      <c r="A876" s="20"/>
      <c r="B876" s="11"/>
      <c r="C876" s="11"/>
      <c r="D876" s="17"/>
      <c r="E876" s="11"/>
      <c r="F876" s="11"/>
      <c r="G876" s="11"/>
      <c r="H876" s="11"/>
      <c r="I876" s="10" t="str">
        <f t="shared" si="1"/>
        <v/>
      </c>
      <c r="J876" s="10" t="str">
        <f t="shared" si="2"/>
        <v/>
      </c>
    </row>
    <row r="877">
      <c r="A877" s="20"/>
      <c r="B877" s="11"/>
      <c r="C877" s="11"/>
      <c r="D877" s="17"/>
      <c r="E877" s="11"/>
      <c r="F877" s="11"/>
      <c r="G877" s="11"/>
      <c r="H877" s="11"/>
      <c r="I877" s="10" t="str">
        <f t="shared" si="1"/>
        <v/>
      </c>
      <c r="J877" s="10" t="str">
        <f t="shared" si="2"/>
        <v/>
      </c>
    </row>
    <row r="878">
      <c r="A878" s="20"/>
      <c r="B878" s="11"/>
      <c r="C878" s="11"/>
      <c r="D878" s="17"/>
      <c r="E878" s="11"/>
      <c r="F878" s="11"/>
      <c r="G878" s="11"/>
      <c r="H878" s="11"/>
      <c r="I878" s="10" t="str">
        <f t="shared" si="1"/>
        <v/>
      </c>
      <c r="J878" s="10" t="str">
        <f t="shared" si="2"/>
        <v/>
      </c>
    </row>
    <row r="879">
      <c r="A879" s="20"/>
      <c r="B879" s="11"/>
      <c r="C879" s="11"/>
      <c r="D879" s="17"/>
      <c r="E879" s="11"/>
      <c r="F879" s="11"/>
      <c r="G879" s="11"/>
      <c r="H879" s="11"/>
      <c r="I879" s="10" t="str">
        <f t="shared" si="1"/>
        <v/>
      </c>
      <c r="J879" s="10" t="str">
        <f t="shared" si="2"/>
        <v/>
      </c>
    </row>
    <row r="880">
      <c r="A880" s="20"/>
      <c r="B880" s="11"/>
      <c r="C880" s="11"/>
      <c r="D880" s="17"/>
      <c r="E880" s="11"/>
      <c r="F880" s="11"/>
      <c r="G880" s="11"/>
      <c r="H880" s="11"/>
      <c r="I880" s="10" t="str">
        <f t="shared" si="1"/>
        <v/>
      </c>
      <c r="J880" s="10" t="str">
        <f t="shared" si="2"/>
        <v/>
      </c>
    </row>
    <row r="881">
      <c r="A881" s="20"/>
      <c r="B881" s="11"/>
      <c r="C881" s="11"/>
      <c r="D881" s="17"/>
      <c r="E881" s="11"/>
      <c r="F881" s="11"/>
      <c r="G881" s="11"/>
      <c r="H881" s="11"/>
      <c r="I881" s="10" t="str">
        <f t="shared" si="1"/>
        <v/>
      </c>
      <c r="J881" s="10" t="str">
        <f t="shared" si="2"/>
        <v/>
      </c>
    </row>
    <row r="882">
      <c r="A882" s="20"/>
      <c r="B882" s="11"/>
      <c r="C882" s="11"/>
      <c r="D882" s="17"/>
      <c r="E882" s="11"/>
      <c r="F882" s="11"/>
      <c r="G882" s="11"/>
      <c r="H882" s="11"/>
      <c r="I882" s="10" t="str">
        <f t="shared" si="1"/>
        <v/>
      </c>
      <c r="J882" s="10" t="str">
        <f t="shared" si="2"/>
        <v/>
      </c>
    </row>
    <row r="883">
      <c r="A883" s="20"/>
      <c r="B883" s="11"/>
      <c r="C883" s="11"/>
      <c r="D883" s="17"/>
      <c r="E883" s="11"/>
      <c r="F883" s="11"/>
      <c r="G883" s="11"/>
      <c r="H883" s="11"/>
      <c r="I883" s="10" t="str">
        <f t="shared" si="1"/>
        <v/>
      </c>
      <c r="J883" s="10" t="str">
        <f t="shared" si="2"/>
        <v/>
      </c>
    </row>
    <row r="884">
      <c r="A884" s="20"/>
      <c r="B884" s="11"/>
      <c r="C884" s="11"/>
      <c r="D884" s="17"/>
      <c r="E884" s="11"/>
      <c r="F884" s="11"/>
      <c r="G884" s="11"/>
      <c r="H884" s="11"/>
      <c r="I884" s="10" t="str">
        <f t="shared" si="1"/>
        <v/>
      </c>
      <c r="J884" s="10" t="str">
        <f t="shared" si="2"/>
        <v/>
      </c>
    </row>
    <row r="885">
      <c r="A885" s="20"/>
      <c r="B885" s="11"/>
      <c r="C885" s="11"/>
      <c r="D885" s="17"/>
      <c r="E885" s="11"/>
      <c r="F885" s="11"/>
      <c r="G885" s="11"/>
      <c r="H885" s="11"/>
      <c r="I885" s="10" t="str">
        <f t="shared" si="1"/>
        <v/>
      </c>
      <c r="J885" s="10" t="str">
        <f t="shared" si="2"/>
        <v/>
      </c>
    </row>
    <row r="886">
      <c r="A886" s="20"/>
      <c r="B886" s="11"/>
      <c r="C886" s="11"/>
      <c r="D886" s="17"/>
      <c r="E886" s="11"/>
      <c r="F886" s="11"/>
      <c r="G886" s="11"/>
      <c r="H886" s="11"/>
      <c r="I886" s="10" t="str">
        <f t="shared" si="1"/>
        <v/>
      </c>
      <c r="J886" s="10" t="str">
        <f t="shared" si="2"/>
        <v/>
      </c>
    </row>
    <row r="887">
      <c r="A887" s="20"/>
      <c r="B887" s="11"/>
      <c r="C887" s="11"/>
      <c r="D887" s="17"/>
      <c r="E887" s="11"/>
      <c r="F887" s="11"/>
      <c r="G887" s="11"/>
      <c r="H887" s="11"/>
      <c r="I887" s="10" t="str">
        <f t="shared" si="1"/>
        <v/>
      </c>
      <c r="J887" s="10" t="str">
        <f t="shared" si="2"/>
        <v/>
      </c>
    </row>
    <row r="888">
      <c r="A888" s="20"/>
      <c r="B888" s="11"/>
      <c r="C888" s="11"/>
      <c r="D888" s="17"/>
      <c r="E888" s="11"/>
      <c r="F888" s="11"/>
      <c r="G888" s="11"/>
      <c r="H888" s="11"/>
      <c r="I888" s="10" t="str">
        <f t="shared" si="1"/>
        <v/>
      </c>
      <c r="J888" s="10" t="str">
        <f t="shared" si="2"/>
        <v/>
      </c>
    </row>
    <row r="889">
      <c r="A889" s="20"/>
      <c r="B889" s="11"/>
      <c r="C889" s="11"/>
      <c r="D889" s="17"/>
      <c r="E889" s="11"/>
      <c r="F889" s="11"/>
      <c r="G889" s="11"/>
      <c r="H889" s="11"/>
      <c r="I889" s="10" t="str">
        <f t="shared" si="1"/>
        <v/>
      </c>
      <c r="J889" s="10" t="str">
        <f t="shared" si="2"/>
        <v/>
      </c>
    </row>
    <row r="890">
      <c r="A890" s="20"/>
      <c r="B890" s="11"/>
      <c r="C890" s="11"/>
      <c r="D890" s="17"/>
      <c r="E890" s="11"/>
      <c r="F890" s="11"/>
      <c r="G890" s="11"/>
      <c r="H890" s="11"/>
      <c r="I890" s="10" t="str">
        <f t="shared" si="1"/>
        <v/>
      </c>
      <c r="J890" s="10" t="str">
        <f t="shared" si="2"/>
        <v/>
      </c>
    </row>
    <row r="891">
      <c r="A891" s="20"/>
      <c r="B891" s="11"/>
      <c r="C891" s="11"/>
      <c r="D891" s="17"/>
      <c r="E891" s="11"/>
      <c r="F891" s="11"/>
      <c r="G891" s="11"/>
      <c r="H891" s="11"/>
      <c r="I891" s="10" t="str">
        <f t="shared" si="1"/>
        <v/>
      </c>
      <c r="J891" s="10" t="str">
        <f t="shared" si="2"/>
        <v/>
      </c>
    </row>
    <row r="892">
      <c r="A892" s="20"/>
      <c r="B892" s="11"/>
      <c r="C892" s="11"/>
      <c r="D892" s="17"/>
      <c r="E892" s="11"/>
      <c r="F892" s="11"/>
      <c r="G892" s="11"/>
      <c r="H892" s="11"/>
      <c r="I892" s="10" t="str">
        <f t="shared" si="1"/>
        <v/>
      </c>
      <c r="J892" s="10" t="str">
        <f t="shared" si="2"/>
        <v/>
      </c>
    </row>
    <row r="893">
      <c r="A893" s="20"/>
      <c r="B893" s="11"/>
      <c r="C893" s="11"/>
      <c r="D893" s="17"/>
      <c r="E893" s="11"/>
      <c r="F893" s="11"/>
      <c r="G893" s="11"/>
      <c r="H893" s="11"/>
      <c r="I893" s="10" t="str">
        <f t="shared" si="1"/>
        <v/>
      </c>
      <c r="J893" s="10" t="str">
        <f t="shared" si="2"/>
        <v/>
      </c>
    </row>
    <row r="894">
      <c r="A894" s="20"/>
      <c r="B894" s="11"/>
      <c r="C894" s="11"/>
      <c r="D894" s="17"/>
      <c r="E894" s="11"/>
      <c r="F894" s="11"/>
      <c r="G894" s="11"/>
      <c r="H894" s="11"/>
      <c r="I894" s="10" t="str">
        <f t="shared" si="1"/>
        <v/>
      </c>
      <c r="J894" s="10" t="str">
        <f t="shared" si="2"/>
        <v/>
      </c>
    </row>
    <row r="895">
      <c r="A895" s="20"/>
      <c r="B895" s="11"/>
      <c r="C895" s="11"/>
      <c r="D895" s="17"/>
      <c r="E895" s="11"/>
      <c r="F895" s="11"/>
      <c r="G895" s="11"/>
      <c r="H895" s="11"/>
      <c r="I895" s="10" t="str">
        <f t="shared" si="1"/>
        <v/>
      </c>
      <c r="J895" s="10" t="str">
        <f t="shared" si="2"/>
        <v/>
      </c>
    </row>
    <row r="896">
      <c r="A896" s="20"/>
      <c r="B896" s="11"/>
      <c r="C896" s="11"/>
      <c r="D896" s="17"/>
      <c r="E896" s="11"/>
      <c r="F896" s="11"/>
      <c r="G896" s="11"/>
      <c r="H896" s="11"/>
      <c r="I896" s="10" t="str">
        <f t="shared" si="1"/>
        <v/>
      </c>
      <c r="J896" s="10" t="str">
        <f t="shared" si="2"/>
        <v/>
      </c>
    </row>
    <row r="897">
      <c r="A897" s="20"/>
      <c r="B897" s="11"/>
      <c r="C897" s="11"/>
      <c r="D897" s="17"/>
      <c r="E897" s="11"/>
      <c r="F897" s="11"/>
      <c r="G897" s="11"/>
      <c r="H897" s="11"/>
      <c r="I897" s="10" t="str">
        <f t="shared" si="1"/>
        <v/>
      </c>
      <c r="J897" s="10" t="str">
        <f t="shared" si="2"/>
        <v/>
      </c>
    </row>
    <row r="898">
      <c r="A898" s="20"/>
      <c r="B898" s="11"/>
      <c r="C898" s="11"/>
      <c r="D898" s="17"/>
      <c r="E898" s="11"/>
      <c r="F898" s="11"/>
      <c r="G898" s="11"/>
      <c r="H898" s="11"/>
      <c r="I898" s="10" t="str">
        <f t="shared" si="1"/>
        <v/>
      </c>
      <c r="J898" s="10" t="str">
        <f t="shared" si="2"/>
        <v/>
      </c>
    </row>
    <row r="899">
      <c r="A899" s="20"/>
      <c r="B899" s="11"/>
      <c r="C899" s="11"/>
      <c r="D899" s="17"/>
      <c r="E899" s="11"/>
      <c r="F899" s="11"/>
      <c r="G899" s="11"/>
      <c r="H899" s="11"/>
      <c r="I899" s="10" t="str">
        <f t="shared" si="1"/>
        <v/>
      </c>
      <c r="J899" s="10" t="str">
        <f t="shared" si="2"/>
        <v/>
      </c>
    </row>
    <row r="900">
      <c r="A900" s="20"/>
      <c r="B900" s="11"/>
      <c r="C900" s="11"/>
      <c r="D900" s="17"/>
      <c r="E900" s="11"/>
      <c r="F900" s="11"/>
      <c r="G900" s="11"/>
      <c r="H900" s="11"/>
      <c r="I900" s="10" t="str">
        <f t="shared" si="1"/>
        <v/>
      </c>
      <c r="J900" s="10" t="str">
        <f t="shared" si="2"/>
        <v/>
      </c>
    </row>
    <row r="901">
      <c r="A901" s="20"/>
      <c r="B901" s="11"/>
      <c r="C901" s="11"/>
      <c r="D901" s="17"/>
      <c r="E901" s="11"/>
      <c r="F901" s="11"/>
      <c r="G901" s="11"/>
      <c r="H901" s="11"/>
      <c r="I901" s="10" t="str">
        <f t="shared" si="1"/>
        <v/>
      </c>
      <c r="J901" s="10" t="str">
        <f t="shared" si="2"/>
        <v/>
      </c>
    </row>
    <row r="902">
      <c r="A902" s="20"/>
      <c r="B902" s="11"/>
      <c r="C902" s="11"/>
      <c r="D902" s="17"/>
      <c r="E902" s="11"/>
      <c r="F902" s="11"/>
      <c r="G902" s="11"/>
      <c r="H902" s="11"/>
      <c r="I902" s="10" t="str">
        <f t="shared" si="1"/>
        <v/>
      </c>
      <c r="J902" s="10" t="str">
        <f t="shared" si="2"/>
        <v/>
      </c>
    </row>
    <row r="903">
      <c r="A903" s="20"/>
      <c r="B903" s="11"/>
      <c r="C903" s="11"/>
      <c r="D903" s="17"/>
      <c r="E903" s="11"/>
      <c r="F903" s="11"/>
      <c r="G903" s="11"/>
      <c r="H903" s="11"/>
      <c r="I903" s="10" t="str">
        <f t="shared" si="1"/>
        <v/>
      </c>
      <c r="J903" s="10" t="str">
        <f t="shared" si="2"/>
        <v/>
      </c>
    </row>
    <row r="904">
      <c r="A904" s="20"/>
      <c r="B904" s="11"/>
      <c r="C904" s="11"/>
      <c r="D904" s="17"/>
      <c r="E904" s="11"/>
      <c r="F904" s="11"/>
      <c r="G904" s="11"/>
      <c r="H904" s="11"/>
      <c r="I904" s="10" t="str">
        <f t="shared" si="1"/>
        <v/>
      </c>
      <c r="J904" s="10" t="str">
        <f t="shared" si="2"/>
        <v/>
      </c>
    </row>
    <row r="905">
      <c r="A905" s="20"/>
      <c r="B905" s="11"/>
      <c r="C905" s="11"/>
      <c r="D905" s="17"/>
      <c r="E905" s="11"/>
      <c r="F905" s="11"/>
      <c r="G905" s="11"/>
      <c r="H905" s="11"/>
      <c r="I905" s="10" t="str">
        <f t="shared" si="1"/>
        <v/>
      </c>
      <c r="J905" s="10" t="str">
        <f t="shared" si="2"/>
        <v/>
      </c>
    </row>
    <row r="906">
      <c r="A906" s="20"/>
      <c r="B906" s="11"/>
      <c r="C906" s="11"/>
      <c r="D906" s="17"/>
      <c r="E906" s="11"/>
      <c r="F906" s="11"/>
      <c r="G906" s="11"/>
      <c r="H906" s="11"/>
      <c r="I906" s="10" t="str">
        <f t="shared" si="1"/>
        <v/>
      </c>
      <c r="J906" s="10" t="str">
        <f t="shared" si="2"/>
        <v/>
      </c>
    </row>
    <row r="907">
      <c r="A907" s="20"/>
      <c r="B907" s="11"/>
      <c r="C907" s="11"/>
      <c r="D907" s="17"/>
      <c r="E907" s="11"/>
      <c r="F907" s="11"/>
      <c r="G907" s="11"/>
      <c r="H907" s="11"/>
      <c r="I907" s="10" t="str">
        <f t="shared" si="1"/>
        <v/>
      </c>
      <c r="J907" s="10" t="str">
        <f t="shared" si="2"/>
        <v/>
      </c>
    </row>
    <row r="908">
      <c r="A908" s="20"/>
      <c r="B908" s="11"/>
      <c r="C908" s="11"/>
      <c r="D908" s="17"/>
      <c r="E908" s="11"/>
      <c r="F908" s="11"/>
      <c r="G908" s="11"/>
      <c r="H908" s="11"/>
      <c r="I908" s="10" t="str">
        <f t="shared" si="1"/>
        <v/>
      </c>
      <c r="J908" s="10" t="str">
        <f t="shared" si="2"/>
        <v/>
      </c>
    </row>
    <row r="909">
      <c r="A909" s="20"/>
      <c r="B909" s="11"/>
      <c r="C909" s="11"/>
      <c r="D909" s="17"/>
      <c r="E909" s="11"/>
      <c r="F909" s="11"/>
      <c r="G909" s="11"/>
      <c r="H909" s="11"/>
      <c r="I909" s="10" t="str">
        <f t="shared" si="1"/>
        <v/>
      </c>
      <c r="J909" s="10" t="str">
        <f t="shared" si="2"/>
        <v/>
      </c>
    </row>
    <row r="910">
      <c r="A910" s="20"/>
      <c r="B910" s="11"/>
      <c r="C910" s="11"/>
      <c r="D910" s="17"/>
      <c r="E910" s="11"/>
      <c r="F910" s="11"/>
      <c r="G910" s="11"/>
      <c r="H910" s="11"/>
      <c r="I910" s="10" t="str">
        <f t="shared" si="1"/>
        <v/>
      </c>
      <c r="J910" s="10" t="str">
        <f t="shared" si="2"/>
        <v/>
      </c>
    </row>
    <row r="911">
      <c r="A911" s="20"/>
      <c r="B911" s="11"/>
      <c r="C911" s="11"/>
      <c r="D911" s="17"/>
      <c r="E911" s="11"/>
      <c r="F911" s="11"/>
      <c r="G911" s="11"/>
      <c r="H911" s="11"/>
      <c r="I911" s="10" t="str">
        <f t="shared" si="1"/>
        <v/>
      </c>
      <c r="J911" s="10" t="str">
        <f t="shared" si="2"/>
        <v/>
      </c>
    </row>
    <row r="912">
      <c r="A912" s="20"/>
      <c r="B912" s="11"/>
      <c r="C912" s="11"/>
      <c r="D912" s="17"/>
      <c r="E912" s="11"/>
      <c r="F912" s="11"/>
      <c r="G912" s="11"/>
      <c r="H912" s="11"/>
      <c r="I912" s="10" t="str">
        <f t="shared" si="1"/>
        <v/>
      </c>
      <c r="J912" s="10" t="str">
        <f t="shared" si="2"/>
        <v/>
      </c>
    </row>
    <row r="913">
      <c r="A913" s="20"/>
      <c r="B913" s="11"/>
      <c r="C913" s="11"/>
      <c r="D913" s="17"/>
      <c r="E913" s="11"/>
      <c r="F913" s="11"/>
      <c r="G913" s="11"/>
      <c r="H913" s="11"/>
      <c r="I913" s="10" t="str">
        <f t="shared" si="1"/>
        <v/>
      </c>
      <c r="J913" s="10" t="str">
        <f t="shared" si="2"/>
        <v/>
      </c>
    </row>
    <row r="914">
      <c r="A914" s="20"/>
      <c r="B914" s="11"/>
      <c r="C914" s="11"/>
      <c r="D914" s="17"/>
      <c r="E914" s="11"/>
      <c r="F914" s="11"/>
      <c r="G914" s="11"/>
      <c r="H914" s="11"/>
      <c r="I914" s="10" t="str">
        <f t="shared" si="1"/>
        <v/>
      </c>
      <c r="J914" s="10" t="str">
        <f t="shared" si="2"/>
        <v/>
      </c>
    </row>
    <row r="915">
      <c r="A915" s="20"/>
      <c r="B915" s="11"/>
      <c r="C915" s="11"/>
      <c r="D915" s="17"/>
      <c r="E915" s="11"/>
      <c r="F915" s="11"/>
      <c r="G915" s="11"/>
      <c r="H915" s="11"/>
      <c r="I915" s="10" t="str">
        <f t="shared" si="1"/>
        <v/>
      </c>
      <c r="J915" s="10" t="str">
        <f t="shared" si="2"/>
        <v/>
      </c>
    </row>
    <row r="916">
      <c r="A916" s="20"/>
      <c r="B916" s="11"/>
      <c r="C916" s="11"/>
      <c r="D916" s="17"/>
      <c r="E916" s="11"/>
      <c r="F916" s="11"/>
      <c r="G916" s="11"/>
      <c r="H916" s="11"/>
      <c r="I916" s="10" t="str">
        <f t="shared" si="1"/>
        <v/>
      </c>
      <c r="J916" s="10" t="str">
        <f t="shared" si="2"/>
        <v/>
      </c>
    </row>
    <row r="917">
      <c r="A917" s="20"/>
      <c r="B917" s="11"/>
      <c r="C917" s="11"/>
      <c r="D917" s="17"/>
      <c r="E917" s="11"/>
      <c r="F917" s="11"/>
      <c r="G917" s="11"/>
      <c r="H917" s="11"/>
      <c r="I917" s="10" t="str">
        <f t="shared" si="1"/>
        <v/>
      </c>
      <c r="J917" s="10" t="str">
        <f t="shared" si="2"/>
        <v/>
      </c>
    </row>
    <row r="918">
      <c r="A918" s="20"/>
      <c r="B918" s="11"/>
      <c r="C918" s="11"/>
      <c r="D918" s="17"/>
      <c r="E918" s="11"/>
      <c r="F918" s="11"/>
      <c r="G918" s="11"/>
      <c r="H918" s="11"/>
      <c r="I918" s="10" t="str">
        <f t="shared" si="1"/>
        <v/>
      </c>
      <c r="J918" s="10" t="str">
        <f t="shared" si="2"/>
        <v/>
      </c>
    </row>
    <row r="919">
      <c r="A919" s="20"/>
      <c r="B919" s="11"/>
      <c r="C919" s="11"/>
      <c r="D919" s="17"/>
      <c r="E919" s="11"/>
      <c r="F919" s="11"/>
      <c r="G919" s="11"/>
      <c r="H919" s="11"/>
      <c r="I919" s="10" t="str">
        <f t="shared" si="1"/>
        <v/>
      </c>
      <c r="J919" s="10" t="str">
        <f t="shared" si="2"/>
        <v/>
      </c>
    </row>
    <row r="920">
      <c r="A920" s="20"/>
      <c r="B920" s="11"/>
      <c r="C920" s="11"/>
      <c r="D920" s="17"/>
      <c r="E920" s="11"/>
      <c r="F920" s="11"/>
      <c r="G920" s="11"/>
      <c r="H920" s="11"/>
      <c r="I920" s="10" t="str">
        <f t="shared" si="1"/>
        <v/>
      </c>
      <c r="J920" s="10" t="str">
        <f t="shared" si="2"/>
        <v/>
      </c>
    </row>
    <row r="921">
      <c r="A921" s="20"/>
      <c r="B921" s="11"/>
      <c r="C921" s="11"/>
      <c r="D921" s="17"/>
      <c r="E921" s="11"/>
      <c r="F921" s="11"/>
      <c r="G921" s="11"/>
      <c r="H921" s="11"/>
      <c r="I921" s="10" t="str">
        <f t="shared" si="1"/>
        <v/>
      </c>
      <c r="J921" s="10" t="str">
        <f t="shared" si="2"/>
        <v/>
      </c>
    </row>
    <row r="922">
      <c r="A922" s="20"/>
      <c r="B922" s="11"/>
      <c r="C922" s="11"/>
      <c r="D922" s="17"/>
      <c r="E922" s="11"/>
      <c r="F922" s="11"/>
      <c r="G922" s="11"/>
      <c r="H922" s="11"/>
      <c r="I922" s="10" t="str">
        <f t="shared" si="1"/>
        <v/>
      </c>
      <c r="J922" s="10" t="str">
        <f t="shared" si="2"/>
        <v/>
      </c>
    </row>
    <row r="923">
      <c r="A923" s="20"/>
      <c r="B923" s="11"/>
      <c r="C923" s="11"/>
      <c r="D923" s="17"/>
      <c r="E923" s="11"/>
      <c r="F923" s="11"/>
      <c r="G923" s="11"/>
      <c r="H923" s="11"/>
      <c r="I923" s="10" t="str">
        <f t="shared" si="1"/>
        <v/>
      </c>
      <c r="J923" s="10" t="str">
        <f t="shared" si="2"/>
        <v/>
      </c>
    </row>
    <row r="924">
      <c r="A924" s="20"/>
      <c r="B924" s="11"/>
      <c r="C924" s="11"/>
      <c r="D924" s="17"/>
      <c r="E924" s="11"/>
      <c r="F924" s="11"/>
      <c r="G924" s="11"/>
      <c r="H924" s="11"/>
      <c r="I924" s="10" t="str">
        <f t="shared" si="1"/>
        <v/>
      </c>
      <c r="J924" s="10" t="str">
        <f t="shared" si="2"/>
        <v/>
      </c>
    </row>
    <row r="925">
      <c r="A925" s="20"/>
      <c r="B925" s="11"/>
      <c r="C925" s="11"/>
      <c r="D925" s="17"/>
      <c r="E925" s="11"/>
      <c r="F925" s="11"/>
      <c r="G925" s="11"/>
      <c r="H925" s="11"/>
      <c r="I925" s="10" t="str">
        <f t="shared" si="1"/>
        <v/>
      </c>
      <c r="J925" s="10" t="str">
        <f t="shared" si="2"/>
        <v/>
      </c>
    </row>
    <row r="926">
      <c r="A926" s="20"/>
      <c r="B926" s="11"/>
      <c r="C926" s="11"/>
      <c r="D926" s="17"/>
      <c r="E926" s="11"/>
      <c r="F926" s="11"/>
      <c r="G926" s="11"/>
      <c r="H926" s="11"/>
      <c r="I926" s="10" t="str">
        <f t="shared" si="1"/>
        <v/>
      </c>
      <c r="J926" s="10" t="str">
        <f t="shared" si="2"/>
        <v/>
      </c>
    </row>
    <row r="927">
      <c r="A927" s="20"/>
      <c r="B927" s="11"/>
      <c r="C927" s="11"/>
      <c r="D927" s="17"/>
      <c r="E927" s="11"/>
      <c r="F927" s="11"/>
      <c r="G927" s="11"/>
      <c r="H927" s="11"/>
      <c r="I927" s="10" t="str">
        <f t="shared" si="1"/>
        <v/>
      </c>
      <c r="J927" s="10" t="str">
        <f t="shared" si="2"/>
        <v/>
      </c>
    </row>
    <row r="928">
      <c r="A928" s="20"/>
      <c r="B928" s="11"/>
      <c r="C928" s="11"/>
      <c r="D928" s="17"/>
      <c r="E928" s="11"/>
      <c r="F928" s="11"/>
      <c r="G928" s="11"/>
      <c r="H928" s="11"/>
      <c r="I928" s="10" t="str">
        <f t="shared" si="1"/>
        <v/>
      </c>
      <c r="J928" s="10" t="str">
        <f t="shared" si="2"/>
        <v/>
      </c>
    </row>
    <row r="929">
      <c r="A929" s="20"/>
      <c r="B929" s="11"/>
      <c r="C929" s="11"/>
      <c r="D929" s="17"/>
      <c r="E929" s="11"/>
      <c r="F929" s="11"/>
      <c r="G929" s="11"/>
      <c r="H929" s="11"/>
      <c r="I929" s="10" t="str">
        <f t="shared" si="1"/>
        <v/>
      </c>
      <c r="J929" s="10" t="str">
        <f t="shared" si="2"/>
        <v/>
      </c>
    </row>
    <row r="930">
      <c r="A930" s="20"/>
      <c r="B930" s="11"/>
      <c r="C930" s="11"/>
      <c r="D930" s="17"/>
      <c r="E930" s="11"/>
      <c r="F930" s="11"/>
      <c r="G930" s="11"/>
      <c r="H930" s="11"/>
      <c r="I930" s="10" t="str">
        <f t="shared" si="1"/>
        <v/>
      </c>
      <c r="J930" s="10" t="str">
        <f t="shared" si="2"/>
        <v/>
      </c>
    </row>
    <row r="931">
      <c r="A931" s="20"/>
      <c r="B931" s="11"/>
      <c r="C931" s="11"/>
      <c r="D931" s="17"/>
      <c r="E931" s="11"/>
      <c r="F931" s="11"/>
      <c r="G931" s="11"/>
      <c r="H931" s="11"/>
      <c r="I931" s="10" t="str">
        <f t="shared" si="1"/>
        <v/>
      </c>
      <c r="J931" s="10" t="str">
        <f t="shared" si="2"/>
        <v/>
      </c>
    </row>
    <row r="932">
      <c r="A932" s="20"/>
      <c r="B932" s="11"/>
      <c r="C932" s="11"/>
      <c r="D932" s="17"/>
      <c r="E932" s="11"/>
      <c r="F932" s="11"/>
      <c r="G932" s="11"/>
      <c r="H932" s="11"/>
      <c r="I932" s="10" t="str">
        <f t="shared" si="1"/>
        <v/>
      </c>
      <c r="J932" s="10" t="str">
        <f t="shared" si="2"/>
        <v/>
      </c>
    </row>
    <row r="933">
      <c r="A933" s="20"/>
      <c r="B933" s="11"/>
      <c r="C933" s="11"/>
      <c r="D933" s="17"/>
      <c r="E933" s="11"/>
      <c r="F933" s="11"/>
      <c r="G933" s="11"/>
      <c r="H933" s="11"/>
      <c r="I933" s="10" t="str">
        <f t="shared" si="1"/>
        <v/>
      </c>
      <c r="J933" s="10" t="str">
        <f t="shared" si="2"/>
        <v/>
      </c>
    </row>
    <row r="934">
      <c r="A934" s="20"/>
      <c r="B934" s="11"/>
      <c r="C934" s="11"/>
      <c r="D934" s="17"/>
      <c r="E934" s="11"/>
      <c r="F934" s="11"/>
      <c r="G934" s="11"/>
      <c r="H934" s="11"/>
      <c r="I934" s="10" t="str">
        <f t="shared" si="1"/>
        <v/>
      </c>
      <c r="J934" s="10" t="str">
        <f t="shared" si="2"/>
        <v/>
      </c>
    </row>
    <row r="935">
      <c r="A935" s="20"/>
      <c r="B935" s="11"/>
      <c r="C935" s="11"/>
      <c r="D935" s="17"/>
      <c r="E935" s="11"/>
      <c r="F935" s="11"/>
      <c r="G935" s="11"/>
      <c r="H935" s="11"/>
      <c r="I935" s="10" t="str">
        <f t="shared" si="1"/>
        <v/>
      </c>
      <c r="J935" s="10" t="str">
        <f t="shared" si="2"/>
        <v/>
      </c>
    </row>
    <row r="936">
      <c r="A936" s="20"/>
      <c r="B936" s="11"/>
      <c r="C936" s="11"/>
      <c r="D936" s="17"/>
      <c r="E936" s="11"/>
      <c r="F936" s="11"/>
      <c r="G936" s="11"/>
      <c r="H936" s="11"/>
      <c r="I936" s="10" t="str">
        <f t="shared" si="1"/>
        <v/>
      </c>
      <c r="J936" s="10" t="str">
        <f t="shared" si="2"/>
        <v/>
      </c>
    </row>
    <row r="937">
      <c r="A937" s="20"/>
      <c r="B937" s="11"/>
      <c r="C937" s="11"/>
      <c r="D937" s="17"/>
      <c r="E937" s="11"/>
      <c r="F937" s="11"/>
      <c r="G937" s="11"/>
      <c r="H937" s="11"/>
      <c r="I937" s="10" t="str">
        <f t="shared" si="1"/>
        <v/>
      </c>
      <c r="J937" s="10" t="str">
        <f t="shared" si="2"/>
        <v/>
      </c>
    </row>
    <row r="938">
      <c r="A938" s="20"/>
      <c r="B938" s="11"/>
      <c r="C938" s="11"/>
      <c r="D938" s="17"/>
      <c r="E938" s="11"/>
      <c r="F938" s="11"/>
      <c r="G938" s="11"/>
      <c r="H938" s="11"/>
      <c r="I938" s="10" t="str">
        <f t="shared" si="1"/>
        <v/>
      </c>
      <c r="J938" s="10" t="str">
        <f t="shared" si="2"/>
        <v/>
      </c>
    </row>
    <row r="939">
      <c r="A939" s="20"/>
      <c r="B939" s="11"/>
      <c r="C939" s="11"/>
      <c r="D939" s="17"/>
      <c r="E939" s="11"/>
      <c r="F939" s="11"/>
      <c r="G939" s="11"/>
      <c r="H939" s="11"/>
      <c r="I939" s="10" t="str">
        <f t="shared" si="1"/>
        <v/>
      </c>
      <c r="J939" s="10" t="str">
        <f t="shared" si="2"/>
        <v/>
      </c>
    </row>
    <row r="940">
      <c r="A940" s="20"/>
      <c r="B940" s="11"/>
      <c r="C940" s="11"/>
      <c r="D940" s="17"/>
      <c r="E940" s="11"/>
      <c r="F940" s="11"/>
      <c r="G940" s="11"/>
      <c r="H940" s="11"/>
      <c r="I940" s="10" t="str">
        <f t="shared" si="1"/>
        <v/>
      </c>
      <c r="J940" s="10" t="str">
        <f t="shared" si="2"/>
        <v/>
      </c>
    </row>
    <row r="941">
      <c r="A941" s="20"/>
      <c r="B941" s="11"/>
      <c r="C941" s="11"/>
      <c r="D941" s="17"/>
      <c r="E941" s="11"/>
      <c r="F941" s="11"/>
      <c r="G941" s="11"/>
      <c r="H941" s="11"/>
      <c r="I941" s="10" t="str">
        <f t="shared" si="1"/>
        <v/>
      </c>
      <c r="J941" s="10" t="str">
        <f t="shared" si="2"/>
        <v/>
      </c>
    </row>
    <row r="942">
      <c r="A942" s="20"/>
      <c r="B942" s="11"/>
      <c r="C942" s="11"/>
      <c r="D942" s="17"/>
      <c r="E942" s="11"/>
      <c r="F942" s="11"/>
      <c r="G942" s="11"/>
      <c r="H942" s="11"/>
      <c r="I942" s="10" t="str">
        <f t="shared" si="1"/>
        <v/>
      </c>
      <c r="J942" s="10" t="str">
        <f t="shared" si="2"/>
        <v/>
      </c>
    </row>
    <row r="943">
      <c r="A943" s="20"/>
      <c r="B943" s="11"/>
      <c r="C943" s="11"/>
      <c r="D943" s="17"/>
      <c r="E943" s="11"/>
      <c r="F943" s="11"/>
      <c r="G943" s="11"/>
      <c r="H943" s="11"/>
      <c r="I943" s="10" t="str">
        <f t="shared" si="1"/>
        <v/>
      </c>
      <c r="J943" s="10" t="str">
        <f t="shared" si="2"/>
        <v/>
      </c>
    </row>
    <row r="944">
      <c r="A944" s="20"/>
      <c r="B944" s="11"/>
      <c r="C944" s="11"/>
      <c r="D944" s="17"/>
      <c r="E944" s="11"/>
      <c r="F944" s="11"/>
      <c r="G944" s="11"/>
      <c r="H944" s="11"/>
      <c r="I944" s="10" t="str">
        <f t="shared" si="1"/>
        <v/>
      </c>
      <c r="J944" s="10" t="str">
        <f t="shared" si="2"/>
        <v/>
      </c>
    </row>
    <row r="945">
      <c r="A945" s="20"/>
      <c r="B945" s="11"/>
      <c r="C945" s="11"/>
      <c r="D945" s="17"/>
      <c r="E945" s="11"/>
      <c r="F945" s="11"/>
      <c r="G945" s="11"/>
      <c r="H945" s="11"/>
      <c r="I945" s="10" t="str">
        <f t="shared" si="1"/>
        <v/>
      </c>
      <c r="J945" s="10" t="str">
        <f t="shared" si="2"/>
        <v/>
      </c>
    </row>
    <row r="946">
      <c r="A946" s="20"/>
      <c r="B946" s="11"/>
      <c r="C946" s="11"/>
      <c r="D946" s="17"/>
      <c r="E946" s="11"/>
      <c r="F946" s="11"/>
      <c r="G946" s="11"/>
      <c r="H946" s="11"/>
      <c r="I946" s="10" t="str">
        <f t="shared" si="1"/>
        <v/>
      </c>
      <c r="J946" s="10" t="str">
        <f t="shared" si="2"/>
        <v/>
      </c>
    </row>
    <row r="947">
      <c r="A947" s="20"/>
      <c r="B947" s="11"/>
      <c r="C947" s="11"/>
      <c r="D947" s="17"/>
      <c r="E947" s="11"/>
      <c r="F947" s="11"/>
      <c r="G947" s="11"/>
      <c r="H947" s="11"/>
      <c r="I947" s="10" t="str">
        <f t="shared" si="1"/>
        <v/>
      </c>
      <c r="J947" s="10" t="str">
        <f t="shared" si="2"/>
        <v/>
      </c>
    </row>
    <row r="948">
      <c r="A948" s="20"/>
      <c r="B948" s="11"/>
      <c r="C948" s="11"/>
      <c r="D948" s="17"/>
      <c r="E948" s="11"/>
      <c r="F948" s="11"/>
      <c r="G948" s="11"/>
      <c r="H948" s="11"/>
      <c r="I948" s="10" t="str">
        <f t="shared" si="1"/>
        <v/>
      </c>
      <c r="J948" s="10" t="str">
        <f t="shared" si="2"/>
        <v/>
      </c>
    </row>
    <row r="949">
      <c r="A949" s="20"/>
      <c r="B949" s="11"/>
      <c r="C949" s="11"/>
      <c r="D949" s="17"/>
      <c r="E949" s="11"/>
      <c r="F949" s="11"/>
      <c r="G949" s="11"/>
      <c r="H949" s="11"/>
      <c r="I949" s="10" t="str">
        <f t="shared" si="1"/>
        <v/>
      </c>
      <c r="J949" s="10" t="str">
        <f t="shared" si="2"/>
        <v/>
      </c>
    </row>
    <row r="950">
      <c r="A950" s="20"/>
      <c r="B950" s="11"/>
      <c r="C950" s="11"/>
      <c r="D950" s="17"/>
      <c r="E950" s="11"/>
      <c r="F950" s="11"/>
      <c r="G950" s="11"/>
      <c r="H950" s="11"/>
      <c r="I950" s="10" t="str">
        <f t="shared" si="1"/>
        <v/>
      </c>
      <c r="J950" s="10" t="str">
        <f t="shared" si="2"/>
        <v/>
      </c>
    </row>
    <row r="951">
      <c r="A951" s="20"/>
      <c r="B951" s="11"/>
      <c r="C951" s="11"/>
      <c r="D951" s="17"/>
      <c r="E951" s="11"/>
      <c r="F951" s="11"/>
      <c r="G951" s="11"/>
      <c r="H951" s="11"/>
      <c r="I951" s="10" t="str">
        <f t="shared" si="1"/>
        <v/>
      </c>
      <c r="J951" s="10" t="str">
        <f t="shared" si="2"/>
        <v/>
      </c>
    </row>
    <row r="952">
      <c r="A952" s="20"/>
      <c r="B952" s="11"/>
      <c r="C952" s="11"/>
      <c r="D952" s="17"/>
      <c r="E952" s="11"/>
      <c r="F952" s="11"/>
      <c r="G952" s="11"/>
      <c r="H952" s="11"/>
      <c r="I952" s="10" t="str">
        <f t="shared" si="1"/>
        <v/>
      </c>
      <c r="J952" s="10" t="str">
        <f t="shared" si="2"/>
        <v/>
      </c>
    </row>
    <row r="953">
      <c r="A953" s="20"/>
      <c r="B953" s="11"/>
      <c r="C953" s="11"/>
      <c r="D953" s="17"/>
      <c r="E953" s="11"/>
      <c r="F953" s="11"/>
      <c r="G953" s="11"/>
      <c r="H953" s="11"/>
      <c r="I953" s="10" t="str">
        <f t="shared" si="1"/>
        <v/>
      </c>
      <c r="J953" s="10" t="str">
        <f t="shared" si="2"/>
        <v/>
      </c>
    </row>
    <row r="954">
      <c r="A954" s="20"/>
      <c r="B954" s="11"/>
      <c r="C954" s="11"/>
      <c r="D954" s="17"/>
      <c r="E954" s="11"/>
      <c r="F954" s="11"/>
      <c r="G954" s="11"/>
      <c r="H954" s="11"/>
      <c r="I954" s="10" t="str">
        <f t="shared" si="1"/>
        <v/>
      </c>
      <c r="J954" s="10" t="str">
        <f t="shared" si="2"/>
        <v/>
      </c>
    </row>
    <row r="955">
      <c r="A955" s="20"/>
      <c r="B955" s="11"/>
      <c r="C955" s="11"/>
      <c r="D955" s="17"/>
      <c r="E955" s="11"/>
      <c r="F955" s="11"/>
      <c r="G955" s="11"/>
      <c r="H955" s="11"/>
      <c r="I955" s="10" t="str">
        <f t="shared" si="1"/>
        <v/>
      </c>
      <c r="J955" s="10" t="str">
        <f t="shared" si="2"/>
        <v/>
      </c>
    </row>
    <row r="956">
      <c r="A956" s="20"/>
      <c r="B956" s="11"/>
      <c r="C956" s="11"/>
      <c r="D956" s="17"/>
      <c r="E956" s="11"/>
      <c r="F956" s="11"/>
      <c r="G956" s="11"/>
      <c r="H956" s="11"/>
      <c r="I956" s="10" t="str">
        <f t="shared" si="1"/>
        <v/>
      </c>
      <c r="J956" s="10" t="str">
        <f t="shared" si="2"/>
        <v/>
      </c>
    </row>
    <row r="957">
      <c r="A957" s="20"/>
      <c r="B957" s="11"/>
      <c r="C957" s="11"/>
      <c r="D957" s="17"/>
      <c r="E957" s="11"/>
      <c r="F957" s="11"/>
      <c r="G957" s="11"/>
      <c r="H957" s="11"/>
      <c r="I957" s="10" t="str">
        <f t="shared" si="1"/>
        <v/>
      </c>
      <c r="J957" s="10" t="str">
        <f t="shared" si="2"/>
        <v/>
      </c>
    </row>
    <row r="958">
      <c r="A958" s="20"/>
      <c r="B958" s="11"/>
      <c r="C958" s="11"/>
      <c r="D958" s="17"/>
      <c r="E958" s="11"/>
      <c r="F958" s="11"/>
      <c r="G958" s="11"/>
      <c r="H958" s="11"/>
      <c r="I958" s="10" t="str">
        <f t="shared" si="1"/>
        <v/>
      </c>
      <c r="J958" s="10" t="str">
        <f t="shared" si="2"/>
        <v/>
      </c>
    </row>
    <row r="959">
      <c r="A959" s="20"/>
      <c r="B959" s="11"/>
      <c r="C959" s="11"/>
      <c r="D959" s="17"/>
      <c r="E959" s="11"/>
      <c r="F959" s="11"/>
      <c r="G959" s="11"/>
      <c r="H959" s="11"/>
      <c r="I959" s="10" t="str">
        <f t="shared" si="1"/>
        <v/>
      </c>
      <c r="J959" s="10" t="str">
        <f t="shared" si="2"/>
        <v/>
      </c>
    </row>
    <row r="960">
      <c r="A960" s="20"/>
      <c r="B960" s="11"/>
      <c r="C960" s="11"/>
      <c r="D960" s="17"/>
      <c r="E960" s="11"/>
      <c r="F960" s="11"/>
      <c r="G960" s="11"/>
      <c r="H960" s="11"/>
      <c r="I960" s="10" t="str">
        <f t="shared" si="1"/>
        <v/>
      </c>
      <c r="J960" s="10" t="str">
        <f t="shared" si="2"/>
        <v/>
      </c>
    </row>
    <row r="961">
      <c r="A961" s="20"/>
      <c r="B961" s="11"/>
      <c r="C961" s="11"/>
      <c r="D961" s="17"/>
      <c r="E961" s="11"/>
      <c r="F961" s="11"/>
      <c r="G961" s="11"/>
      <c r="H961" s="11"/>
      <c r="I961" s="10" t="str">
        <f t="shared" si="1"/>
        <v/>
      </c>
      <c r="J961" s="10" t="str">
        <f t="shared" si="2"/>
        <v/>
      </c>
    </row>
    <row r="962">
      <c r="A962" s="20"/>
      <c r="B962" s="11"/>
      <c r="C962" s="11"/>
      <c r="D962" s="17"/>
      <c r="E962" s="11"/>
      <c r="F962" s="11"/>
      <c r="G962" s="11"/>
      <c r="H962" s="11"/>
      <c r="I962" s="10" t="str">
        <f t="shared" si="1"/>
        <v/>
      </c>
      <c r="J962" s="10" t="str">
        <f t="shared" si="2"/>
        <v/>
      </c>
    </row>
    <row r="963">
      <c r="A963" s="20"/>
      <c r="B963" s="11"/>
      <c r="C963" s="11"/>
      <c r="D963" s="17"/>
      <c r="E963" s="11"/>
      <c r="F963" s="11"/>
      <c r="G963" s="11"/>
      <c r="H963" s="11"/>
      <c r="I963" s="10" t="str">
        <f t="shared" si="1"/>
        <v/>
      </c>
      <c r="J963" s="10" t="str">
        <f t="shared" si="2"/>
        <v/>
      </c>
    </row>
    <row r="964">
      <c r="A964" s="20"/>
      <c r="B964" s="11"/>
      <c r="C964" s="11"/>
      <c r="D964" s="17"/>
      <c r="E964" s="11"/>
      <c r="F964" s="11"/>
      <c r="G964" s="11"/>
      <c r="H964" s="11"/>
      <c r="I964" s="10" t="str">
        <f t="shared" si="1"/>
        <v/>
      </c>
      <c r="J964" s="10" t="str">
        <f t="shared" si="2"/>
        <v/>
      </c>
    </row>
    <row r="965">
      <c r="A965" s="20"/>
      <c r="B965" s="11"/>
      <c r="C965" s="11"/>
      <c r="D965" s="17"/>
      <c r="E965" s="11"/>
      <c r="F965" s="11"/>
      <c r="G965" s="11"/>
      <c r="H965" s="11"/>
      <c r="I965" s="10" t="str">
        <f t="shared" si="1"/>
        <v/>
      </c>
      <c r="J965" s="10" t="str">
        <f t="shared" si="2"/>
        <v/>
      </c>
    </row>
    <row r="966">
      <c r="A966" s="20"/>
      <c r="B966" s="11"/>
      <c r="C966" s="11"/>
      <c r="D966" s="17"/>
      <c r="E966" s="11"/>
      <c r="F966" s="11"/>
      <c r="G966" s="11"/>
      <c r="H966" s="11"/>
      <c r="I966" s="10" t="str">
        <f t="shared" si="1"/>
        <v/>
      </c>
      <c r="J966" s="10" t="str">
        <f t="shared" si="2"/>
        <v/>
      </c>
    </row>
    <row r="967">
      <c r="A967" s="20"/>
      <c r="B967" s="11"/>
      <c r="C967" s="11"/>
      <c r="D967" s="17"/>
      <c r="E967" s="11"/>
      <c r="F967" s="11"/>
      <c r="G967" s="11"/>
      <c r="H967" s="11"/>
      <c r="I967" s="10" t="str">
        <f t="shared" si="1"/>
        <v/>
      </c>
      <c r="J967" s="10" t="str">
        <f t="shared" si="2"/>
        <v/>
      </c>
    </row>
    <row r="968">
      <c r="A968" s="20"/>
      <c r="B968" s="11"/>
      <c r="C968" s="11"/>
      <c r="D968" s="17"/>
      <c r="E968" s="11"/>
      <c r="F968" s="11"/>
      <c r="G968" s="11"/>
      <c r="H968" s="11"/>
      <c r="I968" s="10" t="str">
        <f t="shared" si="1"/>
        <v/>
      </c>
      <c r="J968" s="10" t="str">
        <f t="shared" si="2"/>
        <v/>
      </c>
    </row>
    <row r="969">
      <c r="A969" s="20"/>
      <c r="B969" s="11"/>
      <c r="C969" s="11"/>
      <c r="D969" s="17"/>
      <c r="E969" s="11"/>
      <c r="F969" s="11"/>
      <c r="G969" s="11"/>
      <c r="H969" s="11"/>
      <c r="I969" s="10" t="str">
        <f t="shared" si="1"/>
        <v/>
      </c>
      <c r="J969" s="10" t="str">
        <f t="shared" si="2"/>
        <v/>
      </c>
    </row>
    <row r="970">
      <c r="A970" s="20"/>
      <c r="B970" s="11"/>
      <c r="C970" s="11"/>
      <c r="D970" s="17"/>
      <c r="E970" s="11"/>
      <c r="F970" s="11"/>
      <c r="G970" s="11"/>
      <c r="H970" s="11"/>
      <c r="I970" s="10" t="str">
        <f t="shared" si="1"/>
        <v/>
      </c>
      <c r="J970" s="10" t="str">
        <f t="shared" si="2"/>
        <v/>
      </c>
    </row>
    <row r="971">
      <c r="A971" s="20"/>
      <c r="B971" s="11"/>
      <c r="C971" s="11"/>
      <c r="D971" s="17"/>
      <c r="E971" s="11"/>
      <c r="F971" s="11"/>
      <c r="G971" s="11"/>
      <c r="H971" s="11"/>
      <c r="I971" s="10" t="str">
        <f t="shared" si="1"/>
        <v/>
      </c>
      <c r="J971" s="10" t="str">
        <f t="shared" si="2"/>
        <v/>
      </c>
    </row>
    <row r="972">
      <c r="A972" s="20"/>
      <c r="B972" s="11"/>
      <c r="C972" s="11"/>
      <c r="D972" s="17"/>
      <c r="E972" s="11"/>
      <c r="F972" s="11"/>
      <c r="G972" s="11"/>
      <c r="H972" s="11"/>
      <c r="I972" s="10" t="str">
        <f t="shared" si="1"/>
        <v/>
      </c>
      <c r="J972" s="10" t="str">
        <f t="shared" si="2"/>
        <v/>
      </c>
    </row>
    <row r="973">
      <c r="A973" s="20"/>
      <c r="B973" s="11"/>
      <c r="C973" s="11"/>
      <c r="D973" s="17"/>
      <c r="E973" s="11"/>
      <c r="F973" s="11"/>
      <c r="G973" s="11"/>
      <c r="H973" s="11"/>
      <c r="I973" s="10" t="str">
        <f t="shared" si="1"/>
        <v/>
      </c>
      <c r="J973" s="10" t="str">
        <f t="shared" si="2"/>
        <v/>
      </c>
    </row>
    <row r="974">
      <c r="A974" s="20"/>
      <c r="B974" s="11"/>
      <c r="C974" s="11"/>
      <c r="D974" s="17"/>
      <c r="E974" s="11"/>
      <c r="F974" s="11"/>
      <c r="G974" s="11"/>
      <c r="H974" s="11"/>
      <c r="I974" s="10" t="str">
        <f t="shared" si="1"/>
        <v/>
      </c>
      <c r="J974" s="10" t="str">
        <f t="shared" si="2"/>
        <v/>
      </c>
    </row>
    <row r="975">
      <c r="A975" s="20"/>
      <c r="B975" s="11"/>
      <c r="C975" s="11"/>
      <c r="D975" s="17"/>
      <c r="E975" s="11"/>
      <c r="F975" s="11"/>
      <c r="G975" s="11"/>
      <c r="H975" s="11"/>
      <c r="I975" s="10" t="str">
        <f t="shared" si="1"/>
        <v/>
      </c>
      <c r="J975" s="10" t="str">
        <f t="shared" si="2"/>
        <v/>
      </c>
    </row>
    <row r="976">
      <c r="A976" s="20"/>
      <c r="B976" s="11"/>
      <c r="C976" s="11"/>
      <c r="D976" s="17"/>
      <c r="E976" s="11"/>
      <c r="F976" s="11"/>
      <c r="G976" s="11"/>
      <c r="H976" s="11"/>
      <c r="I976" s="10" t="str">
        <f t="shared" si="1"/>
        <v/>
      </c>
      <c r="J976" s="10" t="str">
        <f t="shared" si="2"/>
        <v/>
      </c>
    </row>
    <row r="977">
      <c r="A977" s="20"/>
      <c r="B977" s="11"/>
      <c r="C977" s="11"/>
      <c r="D977" s="17"/>
      <c r="E977" s="11"/>
      <c r="F977" s="11"/>
      <c r="G977" s="11"/>
      <c r="H977" s="11"/>
      <c r="I977" s="10" t="str">
        <f t="shared" si="1"/>
        <v/>
      </c>
      <c r="J977" s="10" t="str">
        <f t="shared" si="2"/>
        <v/>
      </c>
    </row>
    <row r="978">
      <c r="A978" s="20"/>
      <c r="B978" s="11"/>
      <c r="C978" s="11"/>
      <c r="D978" s="17"/>
      <c r="E978" s="11"/>
      <c r="F978" s="11"/>
      <c r="G978" s="11"/>
      <c r="H978" s="11"/>
      <c r="I978" s="10" t="str">
        <f t="shared" si="1"/>
        <v/>
      </c>
      <c r="J978" s="10" t="str">
        <f t="shared" si="2"/>
        <v/>
      </c>
    </row>
    <row r="979">
      <c r="A979" s="20"/>
      <c r="B979" s="11"/>
      <c r="C979" s="11"/>
      <c r="D979" s="17"/>
      <c r="E979" s="11"/>
      <c r="F979" s="11"/>
      <c r="G979" s="11"/>
      <c r="H979" s="11"/>
      <c r="I979" s="10" t="str">
        <f t="shared" si="1"/>
        <v/>
      </c>
      <c r="J979" s="10" t="str">
        <f t="shared" si="2"/>
        <v/>
      </c>
    </row>
    <row r="980">
      <c r="A980" s="20"/>
      <c r="B980" s="11"/>
      <c r="C980" s="11"/>
      <c r="D980" s="17"/>
      <c r="E980" s="11"/>
      <c r="F980" s="11"/>
      <c r="G980" s="11"/>
      <c r="H980" s="11"/>
      <c r="I980" s="10" t="str">
        <f t="shared" si="1"/>
        <v/>
      </c>
      <c r="J980" s="10" t="str">
        <f t="shared" si="2"/>
        <v/>
      </c>
    </row>
    <row r="981">
      <c r="A981" s="20"/>
      <c r="B981" s="11"/>
      <c r="C981" s="11"/>
      <c r="D981" s="17"/>
      <c r="E981" s="11"/>
      <c r="F981" s="11"/>
      <c r="G981" s="11"/>
      <c r="H981" s="11"/>
      <c r="I981" s="10" t="str">
        <f t="shared" si="1"/>
        <v/>
      </c>
      <c r="J981" s="10" t="str">
        <f t="shared" si="2"/>
        <v/>
      </c>
    </row>
    <row r="982">
      <c r="A982" s="20"/>
      <c r="B982" s="11"/>
      <c r="C982" s="11"/>
      <c r="D982" s="17"/>
      <c r="E982" s="11"/>
      <c r="F982" s="11"/>
      <c r="G982" s="11"/>
      <c r="H982" s="11"/>
      <c r="I982" s="10" t="str">
        <f t="shared" si="1"/>
        <v/>
      </c>
      <c r="J982" s="10" t="str">
        <f t="shared" si="2"/>
        <v/>
      </c>
    </row>
    <row r="983">
      <c r="A983" s="20"/>
      <c r="B983" s="11"/>
      <c r="C983" s="11"/>
      <c r="D983" s="17"/>
      <c r="E983" s="11"/>
      <c r="F983" s="11"/>
      <c r="G983" s="11"/>
      <c r="H983" s="11"/>
      <c r="I983" s="10" t="str">
        <f t="shared" si="1"/>
        <v/>
      </c>
      <c r="J983" s="10" t="str">
        <f t="shared" si="2"/>
        <v/>
      </c>
    </row>
    <row r="984">
      <c r="A984" s="20"/>
      <c r="B984" s="11"/>
      <c r="C984" s="11"/>
      <c r="D984" s="17"/>
      <c r="E984" s="11"/>
      <c r="F984" s="11"/>
      <c r="G984" s="11"/>
      <c r="H984" s="11"/>
      <c r="I984" s="10" t="str">
        <f t="shared" si="1"/>
        <v/>
      </c>
      <c r="J984" s="10" t="str">
        <f t="shared" si="2"/>
        <v/>
      </c>
    </row>
    <row r="985">
      <c r="A985" s="20"/>
      <c r="B985" s="11"/>
      <c r="C985" s="11"/>
      <c r="D985" s="17"/>
      <c r="E985" s="11"/>
      <c r="F985" s="11"/>
      <c r="G985" s="11"/>
      <c r="H985" s="11"/>
      <c r="I985" s="10" t="str">
        <f t="shared" si="1"/>
        <v/>
      </c>
      <c r="J985" s="10" t="str">
        <f t="shared" si="2"/>
        <v/>
      </c>
    </row>
    <row r="986">
      <c r="A986" s="20"/>
      <c r="B986" s="11"/>
      <c r="C986" s="11"/>
      <c r="D986" s="17"/>
      <c r="E986" s="11"/>
      <c r="F986" s="11"/>
      <c r="G986" s="11"/>
      <c r="H986" s="11"/>
      <c r="I986" s="10" t="str">
        <f t="shared" si="1"/>
        <v/>
      </c>
      <c r="J986" s="10" t="str">
        <f t="shared" si="2"/>
        <v/>
      </c>
    </row>
    <row r="987">
      <c r="A987" s="20"/>
      <c r="B987" s="11"/>
      <c r="C987" s="11"/>
      <c r="D987" s="17"/>
      <c r="E987" s="11"/>
      <c r="F987" s="11"/>
      <c r="G987" s="11"/>
      <c r="H987" s="11"/>
      <c r="I987" s="10" t="str">
        <f t="shared" si="1"/>
        <v/>
      </c>
      <c r="J987" s="10" t="str">
        <f t="shared" si="2"/>
        <v/>
      </c>
    </row>
    <row r="988">
      <c r="A988" s="20"/>
      <c r="B988" s="11"/>
      <c r="C988" s="11"/>
      <c r="D988" s="17"/>
      <c r="E988" s="11"/>
      <c r="F988" s="11"/>
      <c r="G988" s="11"/>
      <c r="H988" s="11"/>
      <c r="I988" s="10" t="str">
        <f t="shared" si="1"/>
        <v/>
      </c>
      <c r="J988" s="10" t="str">
        <f t="shared" si="2"/>
        <v/>
      </c>
    </row>
    <row r="989">
      <c r="A989" s="20"/>
      <c r="B989" s="11"/>
      <c r="C989" s="11"/>
      <c r="D989" s="17"/>
      <c r="E989" s="11"/>
      <c r="F989" s="11"/>
      <c r="G989" s="11"/>
      <c r="H989" s="11"/>
      <c r="I989" s="10" t="str">
        <f t="shared" si="1"/>
        <v/>
      </c>
      <c r="J989" s="10" t="str">
        <f t="shared" si="2"/>
        <v/>
      </c>
    </row>
    <row r="990">
      <c r="A990" s="20"/>
      <c r="B990" s="11"/>
      <c r="C990" s="11"/>
      <c r="D990" s="17"/>
      <c r="E990" s="11"/>
      <c r="F990" s="11"/>
      <c r="G990" s="11"/>
      <c r="H990" s="11"/>
      <c r="I990" s="10" t="str">
        <f t="shared" si="1"/>
        <v/>
      </c>
      <c r="J990" s="10" t="str">
        <f t="shared" si="2"/>
        <v/>
      </c>
    </row>
    <row r="991">
      <c r="A991" s="20"/>
      <c r="B991" s="11"/>
      <c r="C991" s="11"/>
      <c r="D991" s="17"/>
      <c r="E991" s="11"/>
      <c r="F991" s="11"/>
      <c r="G991" s="11"/>
      <c r="H991" s="11"/>
      <c r="I991" s="10" t="str">
        <f t="shared" si="1"/>
        <v/>
      </c>
      <c r="J991" s="10" t="str">
        <f t="shared" si="2"/>
        <v/>
      </c>
    </row>
    <row r="992">
      <c r="A992" s="20"/>
      <c r="B992" s="11"/>
      <c r="C992" s="11"/>
      <c r="D992" s="17"/>
      <c r="E992" s="11"/>
      <c r="F992" s="11"/>
      <c r="G992" s="11"/>
      <c r="H992" s="11"/>
      <c r="I992" s="10" t="str">
        <f t="shared" si="1"/>
        <v/>
      </c>
      <c r="J992" s="10" t="str">
        <f t="shared" si="2"/>
        <v/>
      </c>
    </row>
    <row r="993">
      <c r="A993" s="20"/>
      <c r="B993" s="11"/>
      <c r="C993" s="11"/>
      <c r="D993" s="17"/>
      <c r="E993" s="11"/>
      <c r="F993" s="11"/>
      <c r="G993" s="11"/>
      <c r="H993" s="11"/>
      <c r="I993" s="10" t="str">
        <f t="shared" si="1"/>
        <v/>
      </c>
      <c r="J993" s="10" t="str">
        <f t="shared" si="2"/>
        <v/>
      </c>
    </row>
    <row r="994">
      <c r="A994" s="20"/>
      <c r="B994" s="11"/>
      <c r="C994" s="11"/>
      <c r="D994" s="17"/>
      <c r="E994" s="11"/>
      <c r="F994" s="11"/>
      <c r="G994" s="11"/>
      <c r="H994" s="11"/>
      <c r="I994" s="10" t="str">
        <f t="shared" si="1"/>
        <v/>
      </c>
      <c r="J994" s="10" t="str">
        <f t="shared" si="2"/>
        <v/>
      </c>
    </row>
    <row r="995">
      <c r="A995" s="20"/>
      <c r="B995" s="11"/>
      <c r="C995" s="11"/>
      <c r="D995" s="17"/>
      <c r="E995" s="11"/>
      <c r="F995" s="11"/>
      <c r="G995" s="11"/>
      <c r="H995" s="11"/>
      <c r="I995" s="10" t="str">
        <f t="shared" si="1"/>
        <v/>
      </c>
      <c r="J995" s="10" t="str">
        <f t="shared" si="2"/>
        <v/>
      </c>
    </row>
    <row r="996">
      <c r="A996" s="20"/>
      <c r="B996" s="11"/>
      <c r="C996" s="11"/>
      <c r="D996" s="17"/>
      <c r="E996" s="11"/>
      <c r="F996" s="11"/>
      <c r="G996" s="11"/>
      <c r="H996" s="11"/>
      <c r="I996" s="10" t="str">
        <f t="shared" si="1"/>
        <v/>
      </c>
      <c r="J996" s="10" t="str">
        <f t="shared" si="2"/>
        <v/>
      </c>
    </row>
    <row r="997">
      <c r="A997" s="20"/>
      <c r="B997" s="11"/>
      <c r="C997" s="11"/>
      <c r="D997" s="17"/>
      <c r="E997" s="11"/>
      <c r="F997" s="11"/>
      <c r="G997" s="11"/>
      <c r="H997" s="11"/>
      <c r="I997" s="10" t="str">
        <f t="shared" si="1"/>
        <v/>
      </c>
      <c r="J997" s="10" t="str">
        <f t="shared" si="2"/>
        <v/>
      </c>
    </row>
    <row r="998">
      <c r="A998" s="20"/>
      <c r="B998" s="11"/>
      <c r="C998" s="11"/>
      <c r="D998" s="17"/>
      <c r="E998" s="11"/>
      <c r="F998" s="11"/>
      <c r="G998" s="11"/>
      <c r="H998" s="11"/>
      <c r="I998" s="10" t="str">
        <f t="shared" si="1"/>
        <v/>
      </c>
      <c r="J998" s="10" t="str">
        <f t="shared" si="2"/>
        <v/>
      </c>
    </row>
    <row r="999">
      <c r="A999" s="20"/>
      <c r="B999" s="11"/>
      <c r="C999" s="11"/>
      <c r="D999" s="17"/>
      <c r="E999" s="11"/>
      <c r="F999" s="11"/>
      <c r="G999" s="11"/>
      <c r="H999" s="11"/>
      <c r="I999" s="10" t="str">
        <f t="shared" si="1"/>
        <v/>
      </c>
      <c r="J999" s="10" t="str">
        <f t="shared" si="2"/>
        <v/>
      </c>
    </row>
  </sheetData>
  <conditionalFormatting sqref="A2:J999">
    <cfRule type="expression" dxfId="0" priority="1">
      <formula>ISEVEN(QUOTIENT(ROW()-2, 5))</formula>
    </cfRule>
  </conditionalFormatting>
  <dataValidations>
    <dataValidation type="list" allowBlank="1" showErrorMessage="1" sqref="C350">
      <formula1>SubCategoryList</formula1>
    </dataValidation>
    <dataValidation type="list" allowBlank="1" showErrorMessage="1" sqref="B271">
      <formula1>CategoryList</formula1>
    </dataValidation>
    <dataValidation type="list" allowBlank="1" showErrorMessage="1" sqref="C2:C270 C272:C349 C351:C999">
      <formula1>SubCategoryList</formula1>
    </dataValidation>
    <dataValidation type="list" allowBlank="1" showErrorMessage="1" sqref="C271">
      <formula1>SubCategoryList</formula1>
    </dataValidation>
    <dataValidation type="list" allowBlank="1" showErrorMessage="1" sqref="E128">
      <formula1>PaymentList</formula1>
    </dataValidation>
    <dataValidation type="list" allowBlank="1" showErrorMessage="1" sqref="B2:B270 B272:B999">
      <formula1>CategoryList</formula1>
    </dataValidation>
    <dataValidation type="list" allowBlank="1" showErrorMessage="1" sqref="E2:E127 E129:E999">
      <formula1>PaymentList</formula1>
    </dataValidation>
    <dataValidation type="list" allowBlank="1" showErrorMessage="1" sqref="F2:F999">
      <formula1>"Credit Spending,Credit Payment,Credit Installment"</formula1>
    </dataValidation>
    <dataValidation type="list" allowBlank="1" showErrorMessage="1" sqref="G2:G999">
      <formula1>ShopList</formula1>
    </dataValidation>
  </dataValidations>
  <hyperlinks>
    <hyperlink r:id="rId1" ref="H40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38"/>
    <col customWidth="1" min="2" max="2" width="20.0"/>
    <col customWidth="1" min="3" max="3" width="25.63"/>
    <col customWidth="1" min="4" max="4" width="18.25"/>
    <col customWidth="1" min="5" max="5" width="23.5"/>
    <col customWidth="1" min="6" max="6" width="41.63"/>
    <col customWidth="1" min="7" max="7" width="7.63"/>
    <col customWidth="1" min="8" max="9" width="18.13"/>
    <col customWidth="1" min="10" max="10" width="20.38"/>
    <col customWidth="1" min="11" max="11" width="40.13"/>
    <col customWidth="1" min="12" max="13" width="18.88"/>
  </cols>
  <sheetData>
    <row r="1">
      <c r="A1" s="21" t="s">
        <v>8</v>
      </c>
      <c r="B1" s="21" t="s">
        <v>9</v>
      </c>
      <c r="C1" s="22" t="s">
        <v>1</v>
      </c>
      <c r="F1" s="22" t="s">
        <v>611</v>
      </c>
      <c r="J1" s="23"/>
      <c r="K1" s="23"/>
      <c r="L1" s="23"/>
      <c r="M1" s="23"/>
      <c r="N1" s="23"/>
      <c r="P1" s="22"/>
      <c r="Q1" s="22"/>
      <c r="R1" s="22"/>
      <c r="S1" s="22"/>
      <c r="T1" s="23"/>
      <c r="U1" s="23"/>
      <c r="V1" s="23"/>
      <c r="W1" s="23"/>
      <c r="X1" s="23"/>
      <c r="Y1" s="23"/>
      <c r="Z1" s="23"/>
    </row>
    <row r="2">
      <c r="A2" s="24" t="s">
        <v>612</v>
      </c>
      <c r="B2" s="24" t="s">
        <v>613</v>
      </c>
      <c r="C2" s="25" t="s">
        <v>614</v>
      </c>
      <c r="F2" s="26">
        <f>SUM('Background-Data'!H2:H240)</f>
        <v>36303.43</v>
      </c>
      <c r="J2" s="27"/>
      <c r="K2" s="27"/>
      <c r="L2" s="27"/>
      <c r="M2" s="27"/>
      <c r="N2" s="27"/>
      <c r="O2" s="27"/>
      <c r="Q2" s="26"/>
      <c r="R2" s="26"/>
      <c r="S2" s="26"/>
      <c r="T2" s="26"/>
      <c r="U2" s="27"/>
      <c r="V2" s="27"/>
      <c r="W2" s="27"/>
      <c r="X2" s="27"/>
      <c r="Y2" s="27"/>
      <c r="Z2" s="27"/>
    </row>
    <row r="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9.0" customHeight="1"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/>
      <c r="B23" s="29"/>
      <c r="D23" s="30"/>
      <c r="E23" s="29"/>
      <c r="F23" s="31" t="s">
        <v>615</v>
      </c>
      <c r="G23" s="32">
        <f>K25-E25</f>
        <v>-36303.43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8.25" customHeight="1"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3" t="s">
        <v>616</v>
      </c>
      <c r="E25" s="34">
        <f>SUM(D44:D240)</f>
        <v>36303.43</v>
      </c>
      <c r="G25" s="35"/>
      <c r="H25" s="36" t="s">
        <v>617</v>
      </c>
      <c r="K25" s="37">
        <f>SUM(J46:J240)</f>
        <v>0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D26" s="27"/>
      <c r="E26" s="27"/>
      <c r="F26" s="27"/>
      <c r="G26" s="38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26.25" customHeight="1">
      <c r="A27" s="39"/>
      <c r="F27" s="27"/>
      <c r="G27" s="38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C28" s="27"/>
      <c r="D28" s="27"/>
      <c r="E28" s="27"/>
      <c r="F28" s="27"/>
      <c r="G28" s="38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38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38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38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38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F33" s="27"/>
      <c r="G33" s="38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F34" s="27"/>
      <c r="G34" s="40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41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38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38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38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38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38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42"/>
      <c r="B41" s="43"/>
      <c r="C41" s="43"/>
      <c r="D41" s="43"/>
      <c r="E41" s="43"/>
      <c r="F41" s="43"/>
      <c r="G41" s="38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38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G43" s="40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44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45" t="str">
        <f>IFERROR(__xludf.DUMMYFUNCTION("QUERY(Transaction!A1:J240, ""SELECT A, B, C, D, G, H WHERE B != 'Monthly Pay' AND B != 'Investment' AND B != 'Reimbursement' AND I = '""&amp;'Monthly Dashboard'!A2&amp;""' AND J = '""&amp;'Monthly Dashboard'!B2&amp;""' ORDER BY A DESC"", 1)"),"Date")</f>
        <v>Date</v>
      </c>
      <c r="B45" s="45" t="str">
        <f>IFERROR(__xludf.DUMMYFUNCTION("""COMPUTED_VALUE"""),"Category")</f>
        <v>Category</v>
      </c>
      <c r="C45" s="45" t="str">
        <f>IFERROR(__xludf.DUMMYFUNCTION("""COMPUTED_VALUE"""),"Sub-Category")</f>
        <v>Sub-Category</v>
      </c>
      <c r="D45" s="45" t="str">
        <f>IFERROR(__xludf.DUMMYFUNCTION("""COMPUTED_VALUE"""),"Amount")</f>
        <v>Amount</v>
      </c>
      <c r="E45" s="45" t="str">
        <f>IFERROR(__xludf.DUMMYFUNCTION("""COMPUTED_VALUE"""),"Shop")</f>
        <v>Shop</v>
      </c>
      <c r="F45" s="45" t="str">
        <f>IFERROR(__xludf.DUMMYFUNCTION("""COMPUTED_VALUE"""),"Note")</f>
        <v>Note</v>
      </c>
      <c r="G45" s="46"/>
      <c r="H45" s="45" t="str">
        <f>IFERROR(__xludf.DUMMYFUNCTION("QUERY(Transaction!A1:J240, ""SELECT A, C, D, H WHERE B = 'Monthly Pay' AND I = '""&amp;'Monthly Dashboard'!A2&amp;""' AND J = '""&amp;'Monthly Dashboard'!B2&amp;""' ORDER BY A DESC"", 1)"),"Date")</f>
        <v>Date</v>
      </c>
      <c r="I45" s="45" t="str">
        <f>IFERROR(__xludf.DUMMYFUNCTION("""COMPUTED_VALUE"""),"Sub-Category")</f>
        <v>Sub-Category</v>
      </c>
      <c r="J45" s="45" t="str">
        <f>IFERROR(__xludf.DUMMYFUNCTION("""COMPUTED_VALUE"""),"Amount")</f>
        <v>Amount</v>
      </c>
      <c r="K45" s="45" t="str">
        <f>IFERROR(__xludf.DUMMYFUNCTION("""COMPUTED_VALUE"""),"Note")</f>
        <v>Note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47">
        <f>IFERROR(__xludf.DUMMYFUNCTION("""COMPUTED_VALUE"""),45960.0)</f>
        <v>45960</v>
      </c>
      <c r="B46" s="48" t="str">
        <f>IFERROR(__xludf.DUMMYFUNCTION("""COMPUTED_VALUE"""),"Food &amp; Drink")</f>
        <v>Food &amp; Drink</v>
      </c>
      <c r="C46" s="48" t="str">
        <f>IFERROR(__xludf.DUMMYFUNCTION("""COMPUTED_VALUE"""),"Main meals")</f>
        <v>Main meals</v>
      </c>
      <c r="D46" s="49">
        <f>IFERROR(__xludf.DUMMYFUNCTION("""COMPUTED_VALUE"""),372.0)</f>
        <v>372</v>
      </c>
      <c r="E46" s="48" t="str">
        <f>IFERROR(__xludf.DUMMYFUNCTION("""COMPUTED_VALUE"""),"Pizza")</f>
        <v>Pizza</v>
      </c>
      <c r="F46" s="48"/>
      <c r="G46" s="46"/>
      <c r="H46" s="50"/>
      <c r="I46" s="48"/>
      <c r="J46" s="48"/>
      <c r="K46" s="48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47">
        <f>IFERROR(__xludf.DUMMYFUNCTION("""COMPUTED_VALUE"""),45959.0)</f>
        <v>45959</v>
      </c>
      <c r="B47" s="48" t="str">
        <f>IFERROR(__xludf.DUMMYFUNCTION("""COMPUTED_VALUE"""),"Hobby")</f>
        <v>Hobby</v>
      </c>
      <c r="C47" s="48" t="str">
        <f>IFERROR(__xludf.DUMMYFUNCTION("""COMPUTED_VALUE"""),"Education")</f>
        <v>Education</v>
      </c>
      <c r="D47" s="49">
        <f>IFERROR(__xludf.DUMMYFUNCTION("""COMPUTED_VALUE"""),719.0)</f>
        <v>719</v>
      </c>
      <c r="E47" s="48"/>
      <c r="F47" s="48"/>
      <c r="G47" s="46"/>
      <c r="H47" s="50"/>
      <c r="I47" s="48"/>
      <c r="J47" s="48"/>
      <c r="K47" s="48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47">
        <f>IFERROR(__xludf.DUMMYFUNCTION("""COMPUTED_VALUE"""),45959.0)</f>
        <v>45959</v>
      </c>
      <c r="B48" s="48" t="str">
        <f>IFERROR(__xludf.DUMMYFUNCTION("""COMPUTED_VALUE"""),"Food &amp; Drink")</f>
        <v>Food &amp; Drink</v>
      </c>
      <c r="C48" s="48" t="str">
        <f>IFERROR(__xludf.DUMMYFUNCTION("""COMPUTED_VALUE"""),"Main meals")</f>
        <v>Main meals</v>
      </c>
      <c r="D48" s="49">
        <f>IFERROR(__xludf.DUMMYFUNCTION("""COMPUTED_VALUE"""),50.0)</f>
        <v>50</v>
      </c>
      <c r="E48" s="48" t="str">
        <f>IFERROR(__xludf.DUMMYFUNCTION("""COMPUTED_VALUE"""),"Hainanese chicken rice")</f>
        <v>Hainanese chicken rice</v>
      </c>
      <c r="F48" s="48"/>
      <c r="G48" s="46"/>
      <c r="H48" s="50"/>
      <c r="I48" s="48"/>
      <c r="J48" s="48"/>
      <c r="K48" s="48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47">
        <f>IFERROR(__xludf.DUMMYFUNCTION("""COMPUTED_VALUE"""),45959.0)</f>
        <v>45959</v>
      </c>
      <c r="B49" s="48" t="str">
        <f>IFERROR(__xludf.DUMMYFUNCTION("""COMPUTED_VALUE"""),"Food &amp; Drink")</f>
        <v>Food &amp; Drink</v>
      </c>
      <c r="C49" s="48" t="str">
        <f>IFERROR(__xludf.DUMMYFUNCTION("""COMPUTED_VALUE"""),"Snacks")</f>
        <v>Snacks</v>
      </c>
      <c r="D49" s="49">
        <f>IFERROR(__xludf.DUMMYFUNCTION("""COMPUTED_VALUE"""),36.0)</f>
        <v>36</v>
      </c>
      <c r="E49" s="48" t="str">
        <f>IFERROR(__xludf.DUMMYFUNCTION("""COMPUTED_VALUE"""),"CJ")</f>
        <v>CJ</v>
      </c>
      <c r="F49" s="48"/>
      <c r="G49" s="46"/>
      <c r="H49" s="50"/>
      <c r="I49" s="48"/>
      <c r="J49" s="48"/>
      <c r="K49" s="48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47">
        <f>IFERROR(__xludf.DUMMYFUNCTION("""COMPUTED_VALUE"""),45957.0)</f>
        <v>45957</v>
      </c>
      <c r="B50" s="48" t="str">
        <f>IFERROR(__xludf.DUMMYFUNCTION("""COMPUTED_VALUE"""),"Transportation")</f>
        <v>Transportation</v>
      </c>
      <c r="C50" s="48" t="str">
        <f>IFERROR(__xludf.DUMMYFUNCTION("""COMPUTED_VALUE"""),"Maintenance")</f>
        <v>Maintenance</v>
      </c>
      <c r="D50" s="49">
        <f>IFERROR(__xludf.DUMMYFUNCTION("""COMPUTED_VALUE"""),1883.2)</f>
        <v>1883.2</v>
      </c>
      <c r="E50" s="48"/>
      <c r="F50" s="48" t="str">
        <f>IFERROR(__xludf.DUMMYFUNCTION("""COMPUTED_VALUE"""),"เข้าเช็คระยะ 63,000 km")</f>
        <v>เข้าเช็คระยะ 63,000 km</v>
      </c>
      <c r="G50" s="46"/>
      <c r="H50" s="50"/>
      <c r="I50" s="48"/>
      <c r="J50" s="48"/>
      <c r="K50" s="48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47">
        <f>IFERROR(__xludf.DUMMYFUNCTION("""COMPUTED_VALUE"""),45957.0)</f>
        <v>45957</v>
      </c>
      <c r="B51" s="48" t="str">
        <f>IFERROR(__xludf.DUMMYFUNCTION("""COMPUTED_VALUE"""),"Transportation")</f>
        <v>Transportation</v>
      </c>
      <c r="C51" s="48" t="str">
        <f>IFERROR(__xludf.DUMMYFUNCTION("""COMPUTED_VALUE"""),"Fee")</f>
        <v>Fee</v>
      </c>
      <c r="D51" s="49">
        <f>IFERROR(__xludf.DUMMYFUNCTION("""COMPUTED_VALUE"""),50.0)</f>
        <v>50</v>
      </c>
      <c r="E51" s="48"/>
      <c r="F51" s="48" t="str">
        <f>IFERROR(__xludf.DUMMYFUNCTION("""COMPUTED_VALUE"""),"ค่าจอดรถสนามบินส่งมิ้น")</f>
        <v>ค่าจอดรถสนามบินส่งมิ้น</v>
      </c>
      <c r="G51" s="46"/>
      <c r="H51" s="50"/>
      <c r="I51" s="48"/>
      <c r="J51" s="48"/>
      <c r="K51" s="48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47">
        <f>IFERROR(__xludf.DUMMYFUNCTION("""COMPUTED_VALUE"""),45957.0)</f>
        <v>45957</v>
      </c>
      <c r="B52" s="48" t="str">
        <f>IFERROR(__xludf.DUMMYFUNCTION("""COMPUTED_VALUE"""),"Food &amp; Drink")</f>
        <v>Food &amp; Drink</v>
      </c>
      <c r="C52" s="48" t="str">
        <f>IFERROR(__xludf.DUMMYFUNCTION("""COMPUTED_VALUE"""),"Snacks")</f>
        <v>Snacks</v>
      </c>
      <c r="D52" s="49">
        <f>IFERROR(__xludf.DUMMYFUNCTION("""COMPUTED_VALUE"""),204.0)</f>
        <v>204</v>
      </c>
      <c r="E52" s="48" t="str">
        <f>IFERROR(__xludf.DUMMYFUNCTION("""COMPUTED_VALUE"""),"7-Eleven")</f>
        <v>7-Eleven</v>
      </c>
      <c r="F52" s="48" t="str">
        <f>IFERROR(__xludf.DUMMYFUNCTION("""COMPUTED_VALUE"""),"ตั้งแต่วันที่ 27-29")</f>
        <v>ตั้งแต่วันที่ 27-29</v>
      </c>
      <c r="G52" s="46"/>
      <c r="H52" s="50"/>
      <c r="I52" s="48"/>
      <c r="J52" s="48"/>
      <c r="K52" s="48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47">
        <f>IFERROR(__xludf.DUMMYFUNCTION("""COMPUTED_VALUE"""),45956.0)</f>
        <v>45956</v>
      </c>
      <c r="B53" s="48" t="str">
        <f>IFERROR(__xludf.DUMMYFUNCTION("""COMPUTED_VALUE"""),"Others")</f>
        <v>Others</v>
      </c>
      <c r="C53" s="48" t="str">
        <f>IFERROR(__xludf.DUMMYFUNCTION("""COMPUTED_VALUE"""),"Others")</f>
        <v>Others</v>
      </c>
      <c r="D53" s="49">
        <f>IFERROR(__xludf.DUMMYFUNCTION("""COMPUTED_VALUE"""),27.0)</f>
        <v>27</v>
      </c>
      <c r="E53" s="48"/>
      <c r="F53" s="48" t="str">
        <f>IFERROR(__xludf.DUMMYFUNCTION("""COMPUTED_VALUE"""),"ค่าส่งหูฟัง soundcore")</f>
        <v>ค่าส่งหูฟัง soundcore</v>
      </c>
      <c r="G53" s="46"/>
      <c r="H53" s="50"/>
      <c r="I53" s="48"/>
      <c r="J53" s="48"/>
      <c r="K53" s="48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47">
        <f>IFERROR(__xludf.DUMMYFUNCTION("""COMPUTED_VALUE"""),45956.0)</f>
        <v>45956</v>
      </c>
      <c r="B54" s="48" t="str">
        <f>IFERROR(__xludf.DUMMYFUNCTION("""COMPUTED_VALUE"""),"Food &amp; Drink")</f>
        <v>Food &amp; Drink</v>
      </c>
      <c r="C54" s="48" t="str">
        <f>IFERROR(__xludf.DUMMYFUNCTION("""COMPUTED_VALUE"""),"Main meals")</f>
        <v>Main meals</v>
      </c>
      <c r="D54" s="49">
        <f>IFERROR(__xludf.DUMMYFUNCTION("""COMPUTED_VALUE"""),85.0)</f>
        <v>85</v>
      </c>
      <c r="E54" s="48" t="str">
        <f>IFERROR(__xludf.DUMMYFUNCTION("""COMPUTED_VALUE"""),"Noodle")</f>
        <v>Noodle</v>
      </c>
      <c r="F54" s="48"/>
      <c r="G54" s="46"/>
      <c r="H54" s="50"/>
      <c r="I54" s="48"/>
      <c r="J54" s="48"/>
      <c r="K54" s="48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47">
        <f>IFERROR(__xludf.DUMMYFUNCTION("""COMPUTED_VALUE"""),45956.0)</f>
        <v>45956</v>
      </c>
      <c r="B55" s="48" t="str">
        <f>IFERROR(__xludf.DUMMYFUNCTION("""COMPUTED_VALUE"""),"Food &amp; Drink")</f>
        <v>Food &amp; Drink</v>
      </c>
      <c r="C55" s="48" t="str">
        <f>IFERROR(__xludf.DUMMYFUNCTION("""COMPUTED_VALUE"""),"Drinks")</f>
        <v>Drinks</v>
      </c>
      <c r="D55" s="49">
        <f>IFERROR(__xludf.DUMMYFUNCTION("""COMPUTED_VALUE"""),40.0)</f>
        <v>40</v>
      </c>
      <c r="E55" s="48" t="str">
        <f>IFERROR(__xludf.DUMMYFUNCTION("""COMPUTED_VALUE"""),"CJ")</f>
        <v>CJ</v>
      </c>
      <c r="F55" s="48" t="str">
        <f>IFERROR(__xludf.DUMMYFUNCTION("""COMPUTED_VALUE"""),"ชาไทย")</f>
        <v>ชาไทย</v>
      </c>
      <c r="G55" s="46"/>
      <c r="H55" s="50"/>
      <c r="I55" s="48"/>
      <c r="J55" s="48"/>
      <c r="K55" s="48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47">
        <f>IFERROR(__xludf.DUMMYFUNCTION("""COMPUTED_VALUE"""),45956.0)</f>
        <v>45956</v>
      </c>
      <c r="B56" s="48" t="str">
        <f>IFERROR(__xludf.DUMMYFUNCTION("""COMPUTED_VALUE"""),"Food &amp; Drink")</f>
        <v>Food &amp; Drink</v>
      </c>
      <c r="C56" s="48" t="str">
        <f>IFERROR(__xludf.DUMMYFUNCTION("""COMPUTED_VALUE"""),"Groceries")</f>
        <v>Groceries</v>
      </c>
      <c r="D56" s="49">
        <f>IFERROR(__xludf.DUMMYFUNCTION("""COMPUTED_VALUE"""),120.0)</f>
        <v>120</v>
      </c>
      <c r="E56" s="48"/>
      <c r="F56" s="48" t="str">
        <f>IFERROR(__xludf.DUMMYFUNCTION("""COMPUTED_VALUE"""),"ผัก")</f>
        <v>ผัก</v>
      </c>
      <c r="G56" s="46"/>
      <c r="H56" s="50"/>
      <c r="I56" s="48"/>
      <c r="J56" s="48"/>
      <c r="K56" s="48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47">
        <f>IFERROR(__xludf.DUMMYFUNCTION("""COMPUTED_VALUE"""),45956.0)</f>
        <v>45956</v>
      </c>
      <c r="B57" s="48" t="str">
        <f>IFERROR(__xludf.DUMMYFUNCTION("""COMPUTED_VALUE"""),"Transportation")</f>
        <v>Transportation</v>
      </c>
      <c r="C57" s="48" t="str">
        <f>IFERROR(__xludf.DUMMYFUNCTION("""COMPUTED_VALUE"""),"Maintenance")</f>
        <v>Maintenance</v>
      </c>
      <c r="D57" s="49">
        <f>IFERROR(__xludf.DUMMYFUNCTION("""COMPUTED_VALUE"""),1000.0)</f>
        <v>1000</v>
      </c>
      <c r="E57" s="48"/>
      <c r="F57" s="48" t="str">
        <f>IFERROR(__xludf.DUMMYFUNCTION("""COMPUTED_VALUE"""),"เปลี่ยนคิ้วรถ")</f>
        <v>เปลี่ยนคิ้วรถ</v>
      </c>
      <c r="G57" s="46"/>
      <c r="H57" s="50"/>
      <c r="I57" s="48"/>
      <c r="J57" s="48"/>
      <c r="K57" s="48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47">
        <f>IFERROR(__xludf.DUMMYFUNCTION("""COMPUTED_VALUE"""),45955.0)</f>
        <v>45955</v>
      </c>
      <c r="B58" s="48" t="str">
        <f>IFERROR(__xludf.DUMMYFUNCTION("""COMPUTED_VALUE"""),"Food &amp; Drink")</f>
        <v>Food &amp; Drink</v>
      </c>
      <c r="C58" s="48" t="str">
        <f>IFERROR(__xludf.DUMMYFUNCTION("""COMPUTED_VALUE"""),"Main meals")</f>
        <v>Main meals</v>
      </c>
      <c r="D58" s="49">
        <f>IFERROR(__xludf.DUMMYFUNCTION("""COMPUTED_VALUE"""),80.0)</f>
        <v>80</v>
      </c>
      <c r="E58" s="48"/>
      <c r="F58" s="48" t="str">
        <f>IFERROR(__xludf.DUMMYFUNCTION("""COMPUTED_VALUE"""),"กะเพรา")</f>
        <v>กะเพรา</v>
      </c>
      <c r="G58" s="46"/>
      <c r="H58" s="50"/>
      <c r="I58" s="48"/>
      <c r="J58" s="48"/>
      <c r="K58" s="48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47">
        <f>IFERROR(__xludf.DUMMYFUNCTION("""COMPUTED_VALUE"""),45955.0)</f>
        <v>45955</v>
      </c>
      <c r="B59" s="48" t="str">
        <f>IFERROR(__xludf.DUMMYFUNCTION("""COMPUTED_VALUE"""),"Food &amp; Drink")</f>
        <v>Food &amp; Drink</v>
      </c>
      <c r="C59" s="48" t="str">
        <f>IFERROR(__xludf.DUMMYFUNCTION("""COMPUTED_VALUE"""),"Groceries")</f>
        <v>Groceries</v>
      </c>
      <c r="D59" s="49">
        <f>IFERROR(__xludf.DUMMYFUNCTION("""COMPUTED_VALUE"""),162.0)</f>
        <v>162</v>
      </c>
      <c r="E59" s="48"/>
      <c r="F59" s="48" t="str">
        <f>IFERROR(__xludf.DUMMYFUNCTION("""COMPUTED_VALUE"""),"ผัก")</f>
        <v>ผัก</v>
      </c>
      <c r="G59" s="46"/>
      <c r="H59" s="50"/>
      <c r="I59" s="48"/>
      <c r="J59" s="48"/>
      <c r="K59" s="48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47">
        <f>IFERROR(__xludf.DUMMYFUNCTION("""COMPUTED_VALUE"""),45955.0)</f>
        <v>45955</v>
      </c>
      <c r="B60" s="48" t="str">
        <f>IFERROR(__xludf.DUMMYFUNCTION("""COMPUTED_VALUE"""),"Food &amp; Drink")</f>
        <v>Food &amp; Drink</v>
      </c>
      <c r="C60" s="48" t="str">
        <f>IFERROR(__xludf.DUMMYFUNCTION("""COMPUTED_VALUE"""),"Drinks")</f>
        <v>Drinks</v>
      </c>
      <c r="D60" s="49">
        <f>IFERROR(__xludf.DUMMYFUNCTION("""COMPUTED_VALUE"""),40.0)</f>
        <v>40</v>
      </c>
      <c r="E60" s="48" t="str">
        <f>IFERROR(__xludf.DUMMYFUNCTION("""COMPUTED_VALUE"""),"CJ")</f>
        <v>CJ</v>
      </c>
      <c r="F60" s="48" t="str">
        <f>IFERROR(__xludf.DUMMYFUNCTION("""COMPUTED_VALUE"""),"ชาไทย")</f>
        <v>ชาไทย</v>
      </c>
      <c r="G60" s="46"/>
      <c r="H60" s="50"/>
      <c r="I60" s="48"/>
      <c r="J60" s="48"/>
      <c r="K60" s="48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47">
        <f>IFERROR(__xludf.DUMMYFUNCTION("""COMPUTED_VALUE"""),45955.0)</f>
        <v>45955</v>
      </c>
      <c r="B61" s="48" t="str">
        <f>IFERROR(__xludf.DUMMYFUNCTION("""COMPUTED_VALUE"""),"Items")</f>
        <v>Items</v>
      </c>
      <c r="C61" s="48" t="str">
        <f>IFERROR(__xludf.DUMMYFUNCTION("""COMPUTED_VALUE"""),"Household Items")</f>
        <v>Household Items</v>
      </c>
      <c r="D61" s="49">
        <f>IFERROR(__xludf.DUMMYFUNCTION("""COMPUTED_VALUE"""),142.0)</f>
        <v>142</v>
      </c>
      <c r="E61" s="48" t="str">
        <f>IFERROR(__xludf.DUMMYFUNCTION("""COMPUTED_VALUE"""),"Lotus")</f>
        <v>Lotus</v>
      </c>
      <c r="F61" s="48" t="str">
        <f>IFERROR(__xludf.DUMMYFUNCTION("""COMPUTED_VALUE"""),"สำลี ครีมอาบน้ำไ")</f>
        <v>สำลี ครีมอาบน้ำไ</v>
      </c>
      <c r="G61" s="46"/>
      <c r="H61" s="50"/>
      <c r="I61" s="48"/>
      <c r="J61" s="48"/>
      <c r="K61" s="48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47">
        <f>IFERROR(__xludf.DUMMYFUNCTION("""COMPUTED_VALUE"""),45955.0)</f>
        <v>45955</v>
      </c>
      <c r="B62" s="48" t="str">
        <f>IFERROR(__xludf.DUMMYFUNCTION("""COMPUTED_VALUE"""),"Food &amp; Drink")</f>
        <v>Food &amp; Drink</v>
      </c>
      <c r="C62" s="48" t="str">
        <f>IFERROR(__xludf.DUMMYFUNCTION("""COMPUTED_VALUE"""),"Groceries")</f>
        <v>Groceries</v>
      </c>
      <c r="D62" s="49">
        <f>IFERROR(__xludf.DUMMYFUNCTION("""COMPUTED_VALUE"""),381.25)</f>
        <v>381.25</v>
      </c>
      <c r="E62" s="48" t="str">
        <f>IFERROR(__xludf.DUMMYFUNCTION("""COMPUTED_VALUE"""),"Lotus")</f>
        <v>Lotus</v>
      </c>
      <c r="F62" s="48"/>
      <c r="G62" s="46"/>
      <c r="H62" s="50"/>
      <c r="I62" s="48"/>
      <c r="J62" s="48"/>
      <c r="K62" s="48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47">
        <f>IFERROR(__xludf.DUMMYFUNCTION("""COMPUTED_VALUE"""),45954.0)</f>
        <v>45954</v>
      </c>
      <c r="B63" s="48" t="str">
        <f>IFERROR(__xludf.DUMMYFUNCTION("""COMPUTED_VALUE"""),"Others")</f>
        <v>Others</v>
      </c>
      <c r="C63" s="48" t="str">
        <f>IFERROR(__xludf.DUMMYFUNCTION("""COMPUTED_VALUE"""),"Debt")</f>
        <v>Debt</v>
      </c>
      <c r="D63" s="49">
        <f>IFERROR(__xludf.DUMMYFUNCTION("""COMPUTED_VALUE"""),8521.0)</f>
        <v>8521</v>
      </c>
      <c r="E63" s="48"/>
      <c r="F63" s="48" t="str">
        <f>IFERROR(__xludf.DUMMYFUNCTION("""COMPUTED_VALUE"""),"ค่ารถงวด 39")</f>
        <v>ค่ารถงวด 39</v>
      </c>
      <c r="G63" s="46"/>
      <c r="H63" s="50"/>
      <c r="I63" s="48"/>
      <c r="J63" s="48"/>
      <c r="K63" s="48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47">
        <f>IFERROR(__xludf.DUMMYFUNCTION("""COMPUTED_VALUE"""),45954.0)</f>
        <v>45954</v>
      </c>
      <c r="B64" s="48" t="str">
        <f>IFERROR(__xludf.DUMMYFUNCTION("""COMPUTED_VALUE"""),"Others")</f>
        <v>Others</v>
      </c>
      <c r="C64" s="48" t="str">
        <f>IFERROR(__xludf.DUMMYFUNCTION("""COMPUTED_VALUE"""),"Devidend")</f>
        <v>Devidend</v>
      </c>
      <c r="D64" s="49">
        <f>IFERROR(__xludf.DUMMYFUNCTION("""COMPUTED_VALUE"""),2000.0)</f>
        <v>2000</v>
      </c>
      <c r="E64" s="48" t="str">
        <f>IFERROR(__xludf.DUMMYFUNCTION("""COMPUTED_VALUE"""),"Studentloan Debt")</f>
        <v>Studentloan Debt</v>
      </c>
      <c r="F64" s="48" t="str">
        <f>IFERROR(__xludf.DUMMYFUNCTION("""COMPUTED_VALUE"""),"กยศ")</f>
        <v>กยศ</v>
      </c>
      <c r="G64" s="46"/>
      <c r="H64" s="50"/>
      <c r="I64" s="48"/>
      <c r="J64" s="48"/>
      <c r="K64" s="48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47">
        <f>IFERROR(__xludf.DUMMYFUNCTION("""COMPUTED_VALUE"""),45954.0)</f>
        <v>45954</v>
      </c>
      <c r="B65" s="48" t="str">
        <f>IFERROR(__xludf.DUMMYFUNCTION("""COMPUTED_VALUE"""),"Service")</f>
        <v>Service</v>
      </c>
      <c r="C65" s="48" t="str">
        <f>IFERROR(__xludf.DUMMYFUNCTION("""COMPUTED_VALUE"""),"Home Internet")</f>
        <v>Home Internet</v>
      </c>
      <c r="D65" s="49">
        <f>IFERROR(__xludf.DUMMYFUNCTION("""COMPUTED_VALUE"""),650.0)</f>
        <v>650</v>
      </c>
      <c r="E65" s="48"/>
      <c r="F65" s="48" t="str">
        <f>IFERROR(__xludf.DUMMYFUNCTION("""COMPUTED_VALUE"""),"เน็ตบ้าน")</f>
        <v>เน็ตบ้าน</v>
      </c>
      <c r="G65" s="46"/>
      <c r="H65" s="50"/>
      <c r="I65" s="48"/>
      <c r="J65" s="48"/>
      <c r="K65" s="48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47">
        <f>IFERROR(__xludf.DUMMYFUNCTION("""COMPUTED_VALUE"""),45954.0)</f>
        <v>45954</v>
      </c>
      <c r="B66" s="48" t="str">
        <f>IFERROR(__xludf.DUMMYFUNCTION("""COMPUTED_VALUE"""),"Service")</f>
        <v>Service</v>
      </c>
      <c r="C66" s="48" t="str">
        <f>IFERROR(__xludf.DUMMYFUNCTION("""COMPUTED_VALUE"""),"Mobile Internet")</f>
        <v>Mobile Internet</v>
      </c>
      <c r="D66" s="49">
        <f>IFERROR(__xludf.DUMMYFUNCTION("""COMPUTED_VALUE"""),450.0)</f>
        <v>450</v>
      </c>
      <c r="E66" s="48"/>
      <c r="F66" s="48" t="str">
        <f>IFERROR(__xludf.DUMMYFUNCTION("""COMPUTED_VALUE"""),"เน็็ตมือถือ")</f>
        <v>เน็็ตมือถือ</v>
      </c>
      <c r="G66" s="46"/>
      <c r="H66" s="50"/>
      <c r="I66" s="48"/>
      <c r="J66" s="48"/>
      <c r="K66" s="48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47">
        <f>IFERROR(__xludf.DUMMYFUNCTION("""COMPUTED_VALUE"""),45954.0)</f>
        <v>45954</v>
      </c>
      <c r="B67" s="48" t="str">
        <f>IFERROR(__xludf.DUMMYFUNCTION("""COMPUTED_VALUE"""),"Food &amp; Drink")</f>
        <v>Food &amp; Drink</v>
      </c>
      <c r="C67" s="48" t="str">
        <f>IFERROR(__xludf.DUMMYFUNCTION("""COMPUTED_VALUE"""),"Main meals")</f>
        <v>Main meals</v>
      </c>
      <c r="D67" s="49">
        <f>IFERROR(__xludf.DUMMYFUNCTION("""COMPUTED_VALUE"""),80.0)</f>
        <v>80</v>
      </c>
      <c r="E67" s="48"/>
      <c r="F67" s="48" t="str">
        <f>IFERROR(__xludf.DUMMYFUNCTION("""COMPUTED_VALUE"""),"ข้าวมันไก่, ลูกชิ้น")</f>
        <v>ข้าวมันไก่, ลูกชิ้น</v>
      </c>
      <c r="G67" s="46"/>
      <c r="H67" s="50"/>
      <c r="I67" s="48"/>
      <c r="J67" s="48"/>
      <c r="K67" s="48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47">
        <f>IFERROR(__xludf.DUMMYFUNCTION("""COMPUTED_VALUE"""),45954.0)</f>
        <v>45954</v>
      </c>
      <c r="B68" s="48" t="str">
        <f>IFERROR(__xludf.DUMMYFUNCTION("""COMPUTED_VALUE"""),"Food &amp; Drink")</f>
        <v>Food &amp; Drink</v>
      </c>
      <c r="C68" s="48" t="str">
        <f>IFERROR(__xludf.DUMMYFUNCTION("""COMPUTED_VALUE"""),"Main meals")</f>
        <v>Main meals</v>
      </c>
      <c r="D68" s="49">
        <f>IFERROR(__xludf.DUMMYFUNCTION("""COMPUTED_VALUE"""),190.0)</f>
        <v>190</v>
      </c>
      <c r="E68" s="48" t="str">
        <f>IFERROR(__xludf.DUMMYFUNCTION("""COMPUTED_VALUE"""),"Bonchon")</f>
        <v>Bonchon</v>
      </c>
      <c r="F68" s="48"/>
      <c r="G68" s="46"/>
      <c r="H68" s="50"/>
      <c r="I68" s="48"/>
      <c r="J68" s="48"/>
      <c r="K68" s="48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47">
        <f>IFERROR(__xludf.DUMMYFUNCTION("""COMPUTED_VALUE"""),45953.0)</f>
        <v>45953</v>
      </c>
      <c r="B69" s="48" t="str">
        <f>IFERROR(__xludf.DUMMYFUNCTION("""COMPUTED_VALUE"""),"Food &amp; Drink")</f>
        <v>Food &amp; Drink</v>
      </c>
      <c r="C69" s="48" t="str">
        <f>IFERROR(__xludf.DUMMYFUNCTION("""COMPUTED_VALUE"""),"Snacks")</f>
        <v>Snacks</v>
      </c>
      <c r="D69" s="49">
        <f>IFERROR(__xludf.DUMMYFUNCTION("""COMPUTED_VALUE"""),37.0)</f>
        <v>37</v>
      </c>
      <c r="E69" s="48"/>
      <c r="F69" s="48" t="str">
        <f>IFERROR(__xludf.DUMMYFUNCTION("""COMPUTED_VALUE"""),"โตเกียว")</f>
        <v>โตเกียว</v>
      </c>
      <c r="G69" s="46"/>
      <c r="H69" s="50"/>
      <c r="I69" s="48"/>
      <c r="J69" s="48"/>
      <c r="K69" s="48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47">
        <f>IFERROR(__xludf.DUMMYFUNCTION("""COMPUTED_VALUE"""),45952.0)</f>
        <v>45952</v>
      </c>
      <c r="B70" s="48" t="str">
        <f>IFERROR(__xludf.DUMMYFUNCTION("""COMPUTED_VALUE"""),"Food &amp; Drink")</f>
        <v>Food &amp; Drink</v>
      </c>
      <c r="C70" s="48" t="str">
        <f>IFERROR(__xludf.DUMMYFUNCTION("""COMPUTED_VALUE"""),"Main meals")</f>
        <v>Main meals</v>
      </c>
      <c r="D70" s="49">
        <f>IFERROR(__xludf.DUMMYFUNCTION("""COMPUTED_VALUE"""),153.0)</f>
        <v>153</v>
      </c>
      <c r="E70" s="48" t="str">
        <f>IFERROR(__xludf.DUMMYFUNCTION("""COMPUTED_VALUE"""),"KFC")</f>
        <v>KFC</v>
      </c>
      <c r="F70" s="48"/>
      <c r="G70" s="46"/>
      <c r="H70" s="50"/>
      <c r="I70" s="48"/>
      <c r="J70" s="48"/>
      <c r="K70" s="48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47">
        <f>IFERROR(__xludf.DUMMYFUNCTION("""COMPUTED_VALUE"""),45952.0)</f>
        <v>45952</v>
      </c>
      <c r="B71" s="48" t="str">
        <f>IFERROR(__xludf.DUMMYFUNCTION("""COMPUTED_VALUE"""),"Others")</f>
        <v>Others</v>
      </c>
      <c r="C71" s="48" t="str">
        <f>IFERROR(__xludf.DUMMYFUNCTION("""COMPUTED_VALUE"""),"Others")</f>
        <v>Others</v>
      </c>
      <c r="D71" s="49">
        <f>IFERROR(__xludf.DUMMYFUNCTION("""COMPUTED_VALUE"""),100.0)</f>
        <v>100</v>
      </c>
      <c r="E71" s="48"/>
      <c r="F71" s="48" t="str">
        <f>IFERROR(__xludf.DUMMYFUNCTION("""COMPUTED_VALUE"""),"ให้พาย")</f>
        <v>ให้พาย</v>
      </c>
      <c r="G71" s="46"/>
      <c r="H71" s="50"/>
      <c r="I71" s="48"/>
      <c r="J71" s="48"/>
      <c r="K71" s="48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47">
        <f>IFERROR(__xludf.DUMMYFUNCTION("""COMPUTED_VALUE"""),45951.0)</f>
        <v>45951</v>
      </c>
      <c r="B72" s="48" t="str">
        <f>IFERROR(__xludf.DUMMYFUNCTION("""COMPUTED_VALUE"""),"Food &amp; Drink")</f>
        <v>Food &amp; Drink</v>
      </c>
      <c r="C72" s="48" t="str">
        <f>IFERROR(__xludf.DUMMYFUNCTION("""COMPUTED_VALUE"""),"Main meals")</f>
        <v>Main meals</v>
      </c>
      <c r="D72" s="49">
        <f>IFERROR(__xludf.DUMMYFUNCTION("""COMPUTED_VALUE"""),139.0)</f>
        <v>139</v>
      </c>
      <c r="E72" s="48" t="str">
        <f>IFERROR(__xludf.DUMMYFUNCTION("""COMPUTED_VALUE"""),"Noodle")</f>
        <v>Noodle</v>
      </c>
      <c r="F72" s="48" t="str">
        <f>IFERROR(__xludf.DUMMYFUNCTION("""COMPUTED_VALUE"""),"เตี๋ยวไก่")</f>
        <v>เตี๋ยวไก่</v>
      </c>
      <c r="G72" s="46"/>
      <c r="H72" s="50"/>
      <c r="I72" s="48"/>
      <c r="J72" s="48"/>
      <c r="K72" s="48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47">
        <f>IFERROR(__xludf.DUMMYFUNCTION("""COMPUTED_VALUE"""),45950.0)</f>
        <v>45950</v>
      </c>
      <c r="B73" s="48" t="str">
        <f>IFERROR(__xludf.DUMMYFUNCTION("""COMPUTED_VALUE"""),"Food &amp; Drink")</f>
        <v>Food &amp; Drink</v>
      </c>
      <c r="C73" s="48" t="str">
        <f>IFERROR(__xludf.DUMMYFUNCTION("""COMPUTED_VALUE"""),"Main meals")</f>
        <v>Main meals</v>
      </c>
      <c r="D73" s="49">
        <f>IFERROR(__xludf.DUMMYFUNCTION("""COMPUTED_VALUE"""),85.0)</f>
        <v>85</v>
      </c>
      <c r="E73" s="48"/>
      <c r="F73" s="48" t="str">
        <f>IFERROR(__xludf.DUMMYFUNCTION("""COMPUTED_VALUE"""),"กะเพรา")</f>
        <v>กะเพรา</v>
      </c>
      <c r="G73" s="46"/>
      <c r="H73" s="50"/>
      <c r="I73" s="48"/>
      <c r="J73" s="48"/>
      <c r="K73" s="48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47">
        <f>IFERROR(__xludf.DUMMYFUNCTION("""COMPUTED_VALUE"""),45950.0)</f>
        <v>45950</v>
      </c>
      <c r="B74" s="48" t="str">
        <f>IFERROR(__xludf.DUMMYFUNCTION("""COMPUTED_VALUE"""),"Food &amp; Drink")</f>
        <v>Food &amp; Drink</v>
      </c>
      <c r="C74" s="48" t="str">
        <f>IFERROR(__xludf.DUMMYFUNCTION("""COMPUTED_VALUE"""),"Dine-out")</f>
        <v>Dine-out</v>
      </c>
      <c r="D74" s="49">
        <f>IFERROR(__xludf.DUMMYFUNCTION("""COMPUTED_VALUE"""),534.0)</f>
        <v>534</v>
      </c>
      <c r="E74" s="48"/>
      <c r="F74" s="48" t="str">
        <f>IFERROR(__xludf.DUMMYFUNCTION("""COMPUTED_VALUE"""),"BBQ Plaza")</f>
        <v>BBQ Plaza</v>
      </c>
      <c r="G74" s="46"/>
      <c r="H74" s="50"/>
      <c r="I74" s="48"/>
      <c r="J74" s="48"/>
      <c r="K74" s="48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47">
        <f>IFERROR(__xludf.DUMMYFUNCTION("""COMPUTED_VALUE"""),45950.0)</f>
        <v>45950</v>
      </c>
      <c r="B75" s="48" t="str">
        <f>IFERROR(__xludf.DUMMYFUNCTION("""COMPUTED_VALUE"""),"Food &amp; Drink")</f>
        <v>Food &amp; Drink</v>
      </c>
      <c r="C75" s="48" t="str">
        <f>IFERROR(__xludf.DUMMYFUNCTION("""COMPUTED_VALUE"""),"Snacks")</f>
        <v>Snacks</v>
      </c>
      <c r="D75" s="49">
        <f>IFERROR(__xludf.DUMMYFUNCTION("""COMPUTED_VALUE"""),10.0)</f>
        <v>10</v>
      </c>
      <c r="E75" s="48"/>
      <c r="F75" s="48" t="str">
        <f>IFERROR(__xludf.DUMMYFUNCTION("""COMPUTED_VALUE"""),"ถั่ว")</f>
        <v>ถั่ว</v>
      </c>
      <c r="G75" s="46"/>
      <c r="H75" s="50"/>
      <c r="I75" s="48"/>
      <c r="J75" s="48"/>
      <c r="K75" s="48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47">
        <f>IFERROR(__xludf.DUMMYFUNCTION("""COMPUTED_VALUE"""),45950.0)</f>
        <v>45950</v>
      </c>
      <c r="B76" s="48" t="str">
        <f>IFERROR(__xludf.DUMMYFUNCTION("""COMPUTED_VALUE"""),"Residence")</f>
        <v>Residence</v>
      </c>
      <c r="C76" s="48" t="str">
        <f>IFERROR(__xludf.DUMMYFUNCTION("""COMPUTED_VALUE"""),"Water Bill")</f>
        <v>Water Bill</v>
      </c>
      <c r="D76" s="49">
        <f>IFERROR(__xludf.DUMMYFUNCTION("""COMPUTED_VALUE"""),184.07)</f>
        <v>184.07</v>
      </c>
      <c r="E76" s="48"/>
      <c r="F76" s="48" t="str">
        <f>IFERROR(__xludf.DUMMYFUNCTION("""COMPUTED_VALUE"""),"ค่าน้ำ")</f>
        <v>ค่าน้ำ</v>
      </c>
      <c r="G76" s="46"/>
      <c r="H76" s="50"/>
      <c r="I76" s="48"/>
      <c r="J76" s="48"/>
      <c r="K76" s="48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47">
        <f>IFERROR(__xludf.DUMMYFUNCTION("""COMPUTED_VALUE"""),45950.0)</f>
        <v>45950</v>
      </c>
      <c r="B77" s="48" t="str">
        <f>IFERROR(__xludf.DUMMYFUNCTION("""COMPUTED_VALUE"""),"Food &amp; Drink")</f>
        <v>Food &amp; Drink</v>
      </c>
      <c r="C77" s="48" t="str">
        <f>IFERROR(__xludf.DUMMYFUNCTION("""COMPUTED_VALUE"""),"Snacks")</f>
        <v>Snacks</v>
      </c>
      <c r="D77" s="49">
        <f>IFERROR(__xludf.DUMMYFUNCTION("""COMPUTED_VALUE"""),278.0)</f>
        <v>278</v>
      </c>
      <c r="E77" s="48" t="str">
        <f>IFERROR(__xludf.DUMMYFUNCTION("""COMPUTED_VALUE"""),"7-Eleven")</f>
        <v>7-Eleven</v>
      </c>
      <c r="F77" s="48" t="str">
        <f>IFERROR(__xludf.DUMMYFUNCTION("""COMPUTED_VALUE"""),"ตั้งแต่วันที่ 20-24")</f>
        <v>ตั้งแต่วันที่ 20-24</v>
      </c>
      <c r="G77" s="46"/>
      <c r="H77" s="50"/>
      <c r="I77" s="48"/>
      <c r="J77" s="48"/>
      <c r="K77" s="48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47">
        <f>IFERROR(__xludf.DUMMYFUNCTION("""COMPUTED_VALUE"""),45949.0)</f>
        <v>45949</v>
      </c>
      <c r="B78" s="48" t="str">
        <f>IFERROR(__xludf.DUMMYFUNCTION("""COMPUTED_VALUE"""),"Service")</f>
        <v>Service</v>
      </c>
      <c r="C78" s="48" t="str">
        <f>IFERROR(__xludf.DUMMYFUNCTION("""COMPUTED_VALUE"""),"Subscription")</f>
        <v>Subscription</v>
      </c>
      <c r="D78" s="49">
        <f>IFERROR(__xludf.DUMMYFUNCTION("""COMPUTED_VALUE"""),1200.0)</f>
        <v>1200</v>
      </c>
      <c r="E78" s="48"/>
      <c r="F78" s="48" t="str">
        <f>IFERROR(__xludf.DUMMYFUNCTION("""COMPUTED_VALUE"""),"เข้ากลุ่มลิงเล่นหุ้นรายปี")</f>
        <v>เข้ากลุ่มลิงเล่นหุ้นรายปี</v>
      </c>
      <c r="G78" s="46"/>
      <c r="H78" s="50"/>
      <c r="I78" s="48"/>
      <c r="J78" s="48"/>
      <c r="K78" s="48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47">
        <f>IFERROR(__xludf.DUMMYFUNCTION("""COMPUTED_VALUE"""),45949.0)</f>
        <v>45949</v>
      </c>
      <c r="B79" s="48" t="str">
        <f>IFERROR(__xludf.DUMMYFUNCTION("""COMPUTED_VALUE"""),"Food &amp; Drink")</f>
        <v>Food &amp; Drink</v>
      </c>
      <c r="C79" s="48" t="str">
        <f>IFERROR(__xludf.DUMMYFUNCTION("""COMPUTED_VALUE"""),"Groceries")</f>
        <v>Groceries</v>
      </c>
      <c r="D79" s="49">
        <f>IFERROR(__xludf.DUMMYFUNCTION("""COMPUTED_VALUE"""),60.0)</f>
        <v>60</v>
      </c>
      <c r="E79" s="48"/>
      <c r="F79" s="48" t="str">
        <f>IFERROR(__xludf.DUMMYFUNCTION("""COMPUTED_VALUE"""),"ผักตลาด")</f>
        <v>ผักตลาด</v>
      </c>
      <c r="G79" s="46"/>
      <c r="H79" s="50"/>
      <c r="I79" s="48"/>
      <c r="J79" s="48"/>
      <c r="K79" s="48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47">
        <f>IFERROR(__xludf.DUMMYFUNCTION("""COMPUTED_VALUE"""),45949.0)</f>
        <v>45949</v>
      </c>
      <c r="B80" s="48" t="str">
        <f>IFERROR(__xludf.DUMMYFUNCTION("""COMPUTED_VALUE"""),"Food &amp; Drink")</f>
        <v>Food &amp; Drink</v>
      </c>
      <c r="C80" s="48" t="str">
        <f>IFERROR(__xludf.DUMMYFUNCTION("""COMPUTED_VALUE"""),"Snacks")</f>
        <v>Snacks</v>
      </c>
      <c r="D80" s="49">
        <f>IFERROR(__xludf.DUMMYFUNCTION("""COMPUTED_VALUE"""),99.0)</f>
        <v>99</v>
      </c>
      <c r="E80" s="48"/>
      <c r="F80" s="48" t="str">
        <f>IFERROR(__xludf.DUMMYFUNCTION("""COMPUTED_VALUE"""),"bing su")</f>
        <v>bing su</v>
      </c>
      <c r="G80" s="46"/>
      <c r="H80" s="50"/>
      <c r="I80" s="48"/>
      <c r="J80" s="48"/>
      <c r="K80" s="48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47">
        <f>IFERROR(__xludf.DUMMYFUNCTION("""COMPUTED_VALUE"""),45949.0)</f>
        <v>45949</v>
      </c>
      <c r="B81" s="48" t="str">
        <f>IFERROR(__xludf.DUMMYFUNCTION("""COMPUTED_VALUE"""),"Food &amp; Drink")</f>
        <v>Food &amp; Drink</v>
      </c>
      <c r="C81" s="48" t="str">
        <f>IFERROR(__xludf.DUMMYFUNCTION("""COMPUTED_VALUE"""),"Main meals")</f>
        <v>Main meals</v>
      </c>
      <c r="D81" s="49">
        <f>IFERROR(__xludf.DUMMYFUNCTION("""COMPUTED_VALUE"""),110.0)</f>
        <v>110</v>
      </c>
      <c r="E81" s="48"/>
      <c r="F81" s="48" t="str">
        <f>IFERROR(__xludf.DUMMYFUNCTION("""COMPUTED_VALUE"""),"กะเพรา")</f>
        <v>กะเพรา</v>
      </c>
      <c r="G81" s="46"/>
      <c r="H81" s="50"/>
      <c r="I81" s="48"/>
      <c r="J81" s="48"/>
      <c r="K81" s="48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47">
        <f>IFERROR(__xludf.DUMMYFUNCTION("""COMPUTED_VALUE"""),45949.0)</f>
        <v>45949</v>
      </c>
      <c r="B82" s="48" t="str">
        <f>IFERROR(__xludf.DUMMYFUNCTION("""COMPUTED_VALUE"""),"Items")</f>
        <v>Items</v>
      </c>
      <c r="C82" s="48" t="str">
        <f>IFERROR(__xludf.DUMMYFUNCTION("""COMPUTED_VALUE"""),"Others")</f>
        <v>Others</v>
      </c>
      <c r="D82" s="49">
        <f>IFERROR(__xludf.DUMMYFUNCTION("""COMPUTED_VALUE"""),30.0)</f>
        <v>30</v>
      </c>
      <c r="E82" s="48"/>
      <c r="F82" s="48" t="str">
        <f>IFERROR(__xludf.DUMMYFUNCTION("""COMPUTED_VALUE"""),"พวกกุจแจของญี่ปุ่น")</f>
        <v>พวกกุจแจของญี่ปุ่น</v>
      </c>
      <c r="G82" s="46"/>
      <c r="H82" s="50"/>
      <c r="I82" s="48"/>
      <c r="J82" s="48"/>
      <c r="K82" s="48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47">
        <f>IFERROR(__xludf.DUMMYFUNCTION("""COMPUTED_VALUE"""),45949.0)</f>
        <v>45949</v>
      </c>
      <c r="B83" s="48" t="str">
        <f>IFERROR(__xludf.DUMMYFUNCTION("""COMPUTED_VALUE"""),"Items")</f>
        <v>Items</v>
      </c>
      <c r="C83" s="48" t="str">
        <f>IFERROR(__xludf.DUMMYFUNCTION("""COMPUTED_VALUE"""),"Personal Items")</f>
        <v>Personal Items</v>
      </c>
      <c r="D83" s="49">
        <f>IFERROR(__xludf.DUMMYFUNCTION("""COMPUTED_VALUE"""),157.0)</f>
        <v>157</v>
      </c>
      <c r="E83" s="48"/>
      <c r="F83" s="48" t="str">
        <f>IFERROR(__xludf.DUMMYFUNCTION("""COMPUTED_VALUE"""),"น้ำหอมรถยนต์")</f>
        <v>น้ำหอมรถยนต์</v>
      </c>
      <c r="G83" s="46"/>
      <c r="H83" s="50"/>
      <c r="I83" s="48"/>
      <c r="J83" s="48"/>
      <c r="K83" s="48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47">
        <f>IFERROR(__xludf.DUMMYFUNCTION("""COMPUTED_VALUE"""),45949.0)</f>
        <v>45949</v>
      </c>
      <c r="B84" s="48" t="str">
        <f>IFERROR(__xludf.DUMMYFUNCTION("""COMPUTED_VALUE"""),"Hobby")</f>
        <v>Hobby</v>
      </c>
      <c r="C84" s="48" t="str">
        <f>IFERROR(__xludf.DUMMYFUNCTION("""COMPUTED_VALUE"""),"Computer")</f>
        <v>Computer</v>
      </c>
      <c r="D84" s="49">
        <f>IFERROR(__xludf.DUMMYFUNCTION("""COMPUTED_VALUE"""),1017.0)</f>
        <v>1017</v>
      </c>
      <c r="E84" s="48"/>
      <c r="F84" s="48" t="str">
        <f>IFERROR(__xludf.DUMMYFUNCTION("""COMPUTED_VALUE"""),"ขาจับไมค์, แผ่นรองเม้า")</f>
        <v>ขาจับไมค์, แผ่นรองเม้า</v>
      </c>
      <c r="G84" s="46"/>
      <c r="H84" s="50"/>
      <c r="I84" s="48"/>
      <c r="J84" s="48"/>
      <c r="K84" s="48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47">
        <f>IFERROR(__xludf.DUMMYFUNCTION("""COMPUTED_VALUE"""),45948.0)</f>
        <v>45948</v>
      </c>
      <c r="B85" s="48" t="str">
        <f>IFERROR(__xludf.DUMMYFUNCTION("""COMPUTED_VALUE"""),"Transportation")</f>
        <v>Transportation</v>
      </c>
      <c r="C85" s="48" t="str">
        <f>IFERROR(__xludf.DUMMYFUNCTION("""COMPUTED_VALUE"""),"Others")</f>
        <v>Others</v>
      </c>
      <c r="D85" s="49">
        <f>IFERROR(__xludf.DUMMYFUNCTION("""COMPUTED_VALUE"""),337.0)</f>
        <v>337</v>
      </c>
      <c r="E85" s="48"/>
      <c r="F85" s="48" t="str">
        <f>IFERROR(__xludf.DUMMYFUNCTION("""COMPUTED_VALUE"""),"นั่ง grab กลับบ้าน")</f>
        <v>นั่ง grab กลับบ้าน</v>
      </c>
      <c r="G85" s="46"/>
      <c r="H85" s="50"/>
      <c r="I85" s="48"/>
      <c r="J85" s="48"/>
      <c r="K85" s="48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47">
        <f>IFERROR(__xludf.DUMMYFUNCTION("""COMPUTED_VALUE"""),45948.0)</f>
        <v>45948</v>
      </c>
      <c r="B86" s="48" t="str">
        <f>IFERROR(__xludf.DUMMYFUNCTION("""COMPUTED_VALUE"""),"Food &amp; Drink")</f>
        <v>Food &amp; Drink</v>
      </c>
      <c r="C86" s="48" t="str">
        <f>IFERROR(__xludf.DUMMYFUNCTION("""COMPUTED_VALUE"""),"Main meals")</f>
        <v>Main meals</v>
      </c>
      <c r="D86" s="49">
        <f>IFERROR(__xludf.DUMMYFUNCTION("""COMPUTED_VALUE"""),205.6)</f>
        <v>205.6</v>
      </c>
      <c r="E86" s="48"/>
      <c r="F86" s="48" t="str">
        <f>IFERROR(__xludf.DUMMYFUNCTION("""COMPUTED_VALUE"""),"ข้าวเที่ยง")</f>
        <v>ข้าวเที่ยง</v>
      </c>
      <c r="G86" s="46"/>
      <c r="H86" s="50"/>
      <c r="I86" s="48"/>
      <c r="J86" s="48"/>
      <c r="K86" s="48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47">
        <f>IFERROR(__xludf.DUMMYFUNCTION("""COMPUTED_VALUE"""),45947.0)</f>
        <v>45947</v>
      </c>
      <c r="B87" s="48" t="str">
        <f>IFERROR(__xludf.DUMMYFUNCTION("""COMPUTED_VALUE"""),"Items")</f>
        <v>Items</v>
      </c>
      <c r="C87" s="48" t="str">
        <f>IFERROR(__xludf.DUMMYFUNCTION("""COMPUTED_VALUE"""),"Household Items")</f>
        <v>Household Items</v>
      </c>
      <c r="D87" s="49">
        <f>IFERROR(__xludf.DUMMYFUNCTION("""COMPUTED_VALUE"""),432.0)</f>
        <v>432</v>
      </c>
      <c r="E87" s="48"/>
      <c r="F87" s="48" t="str">
        <f>IFERROR(__xludf.DUMMYFUNCTION("""COMPUTED_VALUE"""),"แปรงสีฟัน, ยาสระผม")</f>
        <v>แปรงสีฟัน, ยาสระผม</v>
      </c>
      <c r="G87" s="46"/>
      <c r="H87" s="50"/>
      <c r="I87" s="48"/>
      <c r="J87" s="48"/>
      <c r="K87" s="48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47">
        <f>IFERROR(__xludf.DUMMYFUNCTION("""COMPUTED_VALUE"""),45947.0)</f>
        <v>45947</v>
      </c>
      <c r="B88" s="48" t="str">
        <f>IFERROR(__xludf.DUMMYFUNCTION("""COMPUTED_VALUE"""),"Items")</f>
        <v>Items</v>
      </c>
      <c r="C88" s="48" t="str">
        <f>IFERROR(__xludf.DUMMYFUNCTION("""COMPUTED_VALUE"""),"Skincare")</f>
        <v>Skincare</v>
      </c>
      <c r="D88" s="49">
        <f>IFERROR(__xludf.DUMMYFUNCTION("""COMPUTED_VALUE"""),1927.0)</f>
        <v>1927</v>
      </c>
      <c r="E88" s="48"/>
      <c r="F88" s="48" t="str">
        <f>IFERROR(__xludf.DUMMYFUNCTION("""COMPUTED_VALUE"""),"น้ำหอม CK, ครีม verite, มีดโกนหนวด")</f>
        <v>น้ำหอม CK, ครีม verite, มีดโกนหนวด</v>
      </c>
      <c r="G88" s="46"/>
      <c r="H88" s="50"/>
      <c r="I88" s="48"/>
      <c r="J88" s="48"/>
      <c r="K88" s="48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47">
        <f>IFERROR(__xludf.DUMMYFUNCTION("""COMPUTED_VALUE"""),45947.0)</f>
        <v>45947</v>
      </c>
      <c r="B89" s="48" t="str">
        <f>IFERROR(__xludf.DUMMYFUNCTION("""COMPUTED_VALUE"""),"Food &amp; Drink")</f>
        <v>Food &amp; Drink</v>
      </c>
      <c r="C89" s="48" t="str">
        <f>IFERROR(__xludf.DUMMYFUNCTION("""COMPUTED_VALUE"""),"Alcohol")</f>
        <v>Alcohol</v>
      </c>
      <c r="D89" s="49">
        <f>IFERROR(__xludf.DUMMYFUNCTION("""COMPUTED_VALUE"""),1284.0)</f>
        <v>1284</v>
      </c>
      <c r="E89" s="48" t="str">
        <f>IFERROR(__xludf.DUMMYFUNCTION("""COMPUTED_VALUE"""),"Thai Watsadu")</f>
        <v>Thai Watsadu</v>
      </c>
      <c r="F89" s="48" t="str">
        <f>IFERROR(__xludf.DUMMYFUNCTION("""COMPUTED_VALUE"""),"เบียร์ + ตี๋น้อย")</f>
        <v>เบียร์ + ตี๋น้อย</v>
      </c>
      <c r="G89" s="46"/>
      <c r="H89" s="50"/>
      <c r="I89" s="48"/>
      <c r="J89" s="48"/>
      <c r="K89" s="48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47">
        <f>IFERROR(__xludf.DUMMYFUNCTION("""COMPUTED_VALUE"""),45946.0)</f>
        <v>45946</v>
      </c>
      <c r="B90" s="48" t="str">
        <f>IFERROR(__xludf.DUMMYFUNCTION("""COMPUTED_VALUE"""),"Others")</f>
        <v>Others</v>
      </c>
      <c r="C90" s="48" t="str">
        <f>IFERROR(__xludf.DUMMYFUNCTION("""COMPUTED_VALUE"""),"Others")</f>
        <v>Others</v>
      </c>
      <c r="D90" s="49">
        <f>IFERROR(__xludf.DUMMYFUNCTION("""COMPUTED_VALUE"""),12.0)</f>
        <v>12</v>
      </c>
      <c r="E90" s="48"/>
      <c r="F90" s="48" t="str">
        <f>IFERROR(__xludf.DUMMYFUNCTION("""COMPUTED_VALUE"""),"ถ่ายเอกสารทำบัตรเครดิต")</f>
        <v>ถ่ายเอกสารทำบัตรเครดิต</v>
      </c>
      <c r="G90" s="46"/>
      <c r="H90" s="50"/>
      <c r="I90" s="48"/>
      <c r="J90" s="48"/>
      <c r="K90" s="48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47">
        <f>IFERROR(__xludf.DUMMYFUNCTION("""COMPUTED_VALUE"""),45946.0)</f>
        <v>45946</v>
      </c>
      <c r="B91" s="48" t="str">
        <f>IFERROR(__xludf.DUMMYFUNCTION("""COMPUTED_VALUE"""),"Food &amp; Drink")</f>
        <v>Food &amp; Drink</v>
      </c>
      <c r="C91" s="48" t="str">
        <f>IFERROR(__xludf.DUMMYFUNCTION("""COMPUTED_VALUE"""),"Main meals")</f>
        <v>Main meals</v>
      </c>
      <c r="D91" s="49">
        <f>IFERROR(__xludf.DUMMYFUNCTION("""COMPUTED_VALUE"""),85.0)</f>
        <v>85</v>
      </c>
      <c r="E91" s="48"/>
      <c r="F91" s="48" t="str">
        <f>IFERROR(__xludf.DUMMYFUNCTION("""COMPUTED_VALUE"""),"กะเพรา")</f>
        <v>กะเพรา</v>
      </c>
      <c r="G91" s="46"/>
      <c r="H91" s="50"/>
      <c r="I91" s="48"/>
      <c r="J91" s="48"/>
      <c r="K91" s="48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47">
        <f>IFERROR(__xludf.DUMMYFUNCTION("""COMPUTED_VALUE"""),45946.0)</f>
        <v>45946</v>
      </c>
      <c r="B92" s="48" t="str">
        <f>IFERROR(__xludf.DUMMYFUNCTION("""COMPUTED_VALUE"""),"Food &amp; Drink")</f>
        <v>Food &amp; Drink</v>
      </c>
      <c r="C92" s="48" t="str">
        <f>IFERROR(__xludf.DUMMYFUNCTION("""COMPUTED_VALUE"""),"Groceries")</f>
        <v>Groceries</v>
      </c>
      <c r="D92" s="49">
        <f>IFERROR(__xludf.DUMMYFUNCTION("""COMPUTED_VALUE"""),60.0)</f>
        <v>60</v>
      </c>
      <c r="E92" s="48"/>
      <c r="F92" s="48" t="str">
        <f>IFERROR(__xludf.DUMMYFUNCTION("""COMPUTED_VALUE"""),"มะพร้าว")</f>
        <v>มะพร้าว</v>
      </c>
      <c r="G92" s="46"/>
      <c r="H92" s="50"/>
      <c r="I92" s="48"/>
      <c r="J92" s="48"/>
      <c r="K92" s="48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47">
        <f>IFERROR(__xludf.DUMMYFUNCTION("""COMPUTED_VALUE"""),45946.0)</f>
        <v>45946</v>
      </c>
      <c r="B93" s="48" t="str">
        <f>IFERROR(__xludf.DUMMYFUNCTION("""COMPUTED_VALUE"""),"Service")</f>
        <v>Service</v>
      </c>
      <c r="C93" s="48" t="str">
        <f>IFERROR(__xludf.DUMMYFUNCTION("""COMPUTED_VALUE"""),"Haircut")</f>
        <v>Haircut</v>
      </c>
      <c r="D93" s="49">
        <f>IFERROR(__xludf.DUMMYFUNCTION("""COMPUTED_VALUE"""),200.0)</f>
        <v>200</v>
      </c>
      <c r="E93" s="48"/>
      <c r="F93" s="48"/>
      <c r="G93" s="46"/>
      <c r="H93" s="50"/>
      <c r="I93" s="48"/>
      <c r="J93" s="48"/>
      <c r="K93" s="48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47">
        <f>IFERROR(__xludf.DUMMYFUNCTION("""COMPUTED_VALUE"""),45946.0)</f>
        <v>45946</v>
      </c>
      <c r="B94" s="48" t="str">
        <f>IFERROR(__xludf.DUMMYFUNCTION("""COMPUTED_VALUE"""),"Food &amp; Drink")</f>
        <v>Food &amp; Drink</v>
      </c>
      <c r="C94" s="48" t="str">
        <f>IFERROR(__xludf.DUMMYFUNCTION("""COMPUTED_VALUE"""),"Drinks")</f>
        <v>Drinks</v>
      </c>
      <c r="D94" s="49">
        <f>IFERROR(__xludf.DUMMYFUNCTION("""COMPUTED_VALUE"""),40.0)</f>
        <v>40</v>
      </c>
      <c r="E94" s="48"/>
      <c r="F94" s="48" t="str">
        <f>IFERROR(__xludf.DUMMYFUNCTION("""COMPUTED_VALUE"""),"ชานม")</f>
        <v>ชานม</v>
      </c>
      <c r="G94" s="46"/>
      <c r="H94" s="50"/>
      <c r="I94" s="48"/>
      <c r="J94" s="48"/>
      <c r="K94" s="48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47">
        <f>IFERROR(__xludf.DUMMYFUNCTION("""COMPUTED_VALUE"""),45946.0)</f>
        <v>45946</v>
      </c>
      <c r="B95" s="48" t="str">
        <f>IFERROR(__xludf.DUMMYFUNCTION("""COMPUTED_VALUE"""),"Food &amp; Drink")</f>
        <v>Food &amp; Drink</v>
      </c>
      <c r="C95" s="48" t="str">
        <f>IFERROR(__xludf.DUMMYFUNCTION("""COMPUTED_VALUE"""),"Main meals")</f>
        <v>Main meals</v>
      </c>
      <c r="D95" s="49">
        <f>IFERROR(__xludf.DUMMYFUNCTION("""COMPUTED_VALUE"""),50.0)</f>
        <v>50</v>
      </c>
      <c r="E95" s="48" t="str">
        <f>IFERROR(__xludf.DUMMYFUNCTION("""COMPUTED_VALUE"""),"Hainanese chicken rice")</f>
        <v>Hainanese chicken rice</v>
      </c>
      <c r="F95" s="48"/>
      <c r="G95" s="46"/>
      <c r="H95" s="50"/>
      <c r="I95" s="48"/>
      <c r="J95" s="48"/>
      <c r="K95" s="48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47">
        <f>IFERROR(__xludf.DUMMYFUNCTION("""COMPUTED_VALUE"""),45946.0)</f>
        <v>45946</v>
      </c>
      <c r="B96" s="48" t="str">
        <f>IFERROR(__xludf.DUMMYFUNCTION("""COMPUTED_VALUE"""),"Food &amp; Drink")</f>
        <v>Food &amp; Drink</v>
      </c>
      <c r="C96" s="48" t="str">
        <f>IFERROR(__xludf.DUMMYFUNCTION("""COMPUTED_VALUE"""),"Snacks")</f>
        <v>Snacks</v>
      </c>
      <c r="D96" s="49">
        <f>IFERROR(__xludf.DUMMYFUNCTION("""COMPUTED_VALUE"""),58.0)</f>
        <v>58</v>
      </c>
      <c r="E96" s="48" t="str">
        <f>IFERROR(__xludf.DUMMYFUNCTION("""COMPUTED_VALUE"""),"Lotus")</f>
        <v>Lotus</v>
      </c>
      <c r="F96" s="48" t="str">
        <f>IFERROR(__xludf.DUMMYFUNCTION("""COMPUTED_VALUE"""),"ขนมปัง")</f>
        <v>ขนมปัง</v>
      </c>
      <c r="G96" s="46"/>
      <c r="H96" s="50"/>
      <c r="I96" s="48"/>
      <c r="J96" s="48"/>
      <c r="K96" s="48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47">
        <f>IFERROR(__xludf.DUMMYFUNCTION("""COMPUTED_VALUE"""),45946.0)</f>
        <v>45946</v>
      </c>
      <c r="B97" s="48" t="str">
        <f>IFERROR(__xludf.DUMMYFUNCTION("""COMPUTED_VALUE"""),"Food &amp; Drink")</f>
        <v>Food &amp; Drink</v>
      </c>
      <c r="C97" s="48" t="str">
        <f>IFERROR(__xludf.DUMMYFUNCTION("""COMPUTED_VALUE"""),"Groceries")</f>
        <v>Groceries</v>
      </c>
      <c r="D97" s="49">
        <f>IFERROR(__xludf.DUMMYFUNCTION("""COMPUTED_VALUE"""),206.0)</f>
        <v>206</v>
      </c>
      <c r="E97" s="48" t="str">
        <f>IFERROR(__xludf.DUMMYFUNCTION("""COMPUTED_VALUE"""),"Lotus")</f>
        <v>Lotus</v>
      </c>
      <c r="F97" s="48" t="str">
        <f>IFERROR(__xludf.DUMMYFUNCTION("""COMPUTED_VALUE"""),"ผัก")</f>
        <v>ผัก</v>
      </c>
      <c r="G97" s="46"/>
      <c r="H97" s="50"/>
      <c r="I97" s="48"/>
      <c r="J97" s="48"/>
      <c r="K97" s="48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47">
        <f>IFERROR(__xludf.DUMMYFUNCTION("""COMPUTED_VALUE"""),45945.0)</f>
        <v>45945</v>
      </c>
      <c r="B98" s="48" t="str">
        <f>IFERROR(__xludf.DUMMYFUNCTION("""COMPUTED_VALUE"""),"Food &amp; Drink")</f>
        <v>Food &amp; Drink</v>
      </c>
      <c r="C98" s="48" t="str">
        <f>IFERROR(__xludf.DUMMYFUNCTION("""COMPUTED_VALUE"""),"Main meals")</f>
        <v>Main meals</v>
      </c>
      <c r="D98" s="49">
        <f>IFERROR(__xludf.DUMMYFUNCTION("""COMPUTED_VALUE"""),98.0)</f>
        <v>98</v>
      </c>
      <c r="E98" s="48" t="str">
        <f>IFERROR(__xludf.DUMMYFUNCTION("""COMPUTED_VALUE"""),"KFC")</f>
        <v>KFC</v>
      </c>
      <c r="F98" s="48"/>
      <c r="G98" s="46"/>
      <c r="H98" s="50"/>
      <c r="I98" s="48"/>
      <c r="J98" s="48"/>
      <c r="K98" s="48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47">
        <f>IFERROR(__xludf.DUMMYFUNCTION("""COMPUTED_VALUE"""),45944.0)</f>
        <v>45944</v>
      </c>
      <c r="B99" s="48" t="str">
        <f>IFERROR(__xludf.DUMMYFUNCTION("""COMPUTED_VALUE"""),"Food &amp; Drink")</f>
        <v>Food &amp; Drink</v>
      </c>
      <c r="C99" s="48" t="str">
        <f>IFERROR(__xludf.DUMMYFUNCTION("""COMPUTED_VALUE"""),"Main meals")</f>
        <v>Main meals</v>
      </c>
      <c r="D99" s="49">
        <f>IFERROR(__xludf.DUMMYFUNCTION("""COMPUTED_VALUE"""),50.0)</f>
        <v>50</v>
      </c>
      <c r="E99" s="48" t="str">
        <f>IFERROR(__xludf.DUMMYFUNCTION("""COMPUTED_VALUE"""),"Noodle")</f>
        <v>Noodle</v>
      </c>
      <c r="F99" s="48"/>
      <c r="G99" s="46"/>
      <c r="H99" s="50"/>
      <c r="I99" s="48"/>
      <c r="J99" s="48"/>
      <c r="K99" s="48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47">
        <f>IFERROR(__xludf.DUMMYFUNCTION("""COMPUTED_VALUE"""),45944.0)</f>
        <v>45944</v>
      </c>
      <c r="B100" s="48" t="str">
        <f>IFERROR(__xludf.DUMMYFUNCTION("""COMPUTED_VALUE"""),"Transportation")</f>
        <v>Transportation</v>
      </c>
      <c r="C100" s="48" t="str">
        <f>IFERROR(__xludf.DUMMYFUNCTION("""COMPUTED_VALUE"""),"Fee")</f>
        <v>Fee</v>
      </c>
      <c r="D100" s="49">
        <f>IFERROR(__xludf.DUMMYFUNCTION("""COMPUTED_VALUE"""),30.0)</f>
        <v>30</v>
      </c>
      <c r="E100" s="48"/>
      <c r="F100" s="48" t="str">
        <f>IFERROR(__xludf.DUMMYFUNCTION("""COMPUTED_VALUE"""),"mflow")</f>
        <v>mflow</v>
      </c>
      <c r="G100" s="46"/>
      <c r="H100" s="50"/>
      <c r="I100" s="48"/>
      <c r="J100" s="48"/>
      <c r="K100" s="48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47">
        <f>IFERROR(__xludf.DUMMYFUNCTION("""COMPUTED_VALUE"""),45944.0)</f>
        <v>45944</v>
      </c>
      <c r="B101" s="48" t="str">
        <f>IFERROR(__xludf.DUMMYFUNCTION("""COMPUTED_VALUE"""),"Food &amp; Drink")</f>
        <v>Food &amp; Drink</v>
      </c>
      <c r="C101" s="48" t="str">
        <f>IFERROR(__xludf.DUMMYFUNCTION("""COMPUTED_VALUE"""),"Drinks")</f>
        <v>Drinks</v>
      </c>
      <c r="D101" s="49">
        <f>IFERROR(__xludf.DUMMYFUNCTION("""COMPUTED_VALUE"""),28.0)</f>
        <v>28</v>
      </c>
      <c r="E101" s="48" t="str">
        <f>IFERROR(__xludf.DUMMYFUNCTION("""COMPUTED_VALUE"""),"7-Eleven")</f>
        <v>7-Eleven</v>
      </c>
      <c r="F101" s="48" t="str">
        <f>IFERROR(__xludf.DUMMYFUNCTION("""COMPUTED_VALUE"""),"pepsi")</f>
        <v>pepsi</v>
      </c>
      <c r="G101" s="46"/>
      <c r="H101" s="50"/>
      <c r="I101" s="48"/>
      <c r="J101" s="48"/>
      <c r="K101" s="48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47">
        <f>IFERROR(__xludf.DUMMYFUNCTION("""COMPUTED_VALUE"""),45943.0)</f>
        <v>45943</v>
      </c>
      <c r="B102" s="48" t="str">
        <f>IFERROR(__xludf.DUMMYFUNCTION("""COMPUTED_VALUE"""),"Health")</f>
        <v>Health</v>
      </c>
      <c r="C102" s="48" t="str">
        <f>IFERROR(__xludf.DUMMYFUNCTION("""COMPUTED_VALUE"""),"Exercise Equipment")</f>
        <v>Exercise Equipment</v>
      </c>
      <c r="D102" s="49">
        <f>IFERROR(__xludf.DUMMYFUNCTION("""COMPUTED_VALUE"""),200.0)</f>
        <v>200</v>
      </c>
      <c r="E102" s="48" t="str">
        <f>IFERROR(__xludf.DUMMYFUNCTION("""COMPUTED_VALUE"""),"Decathlon")</f>
        <v>Decathlon</v>
      </c>
      <c r="F102" s="48" t="str">
        <f>IFERROR(__xludf.DUMMYFUNCTION("""COMPUTED_VALUE"""),"Resistance Band")</f>
        <v>Resistance Band</v>
      </c>
      <c r="G102" s="46"/>
      <c r="H102" s="50"/>
      <c r="I102" s="48"/>
      <c r="J102" s="48"/>
      <c r="K102" s="48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47">
        <f>IFERROR(__xludf.DUMMYFUNCTION("""COMPUTED_VALUE"""),45943.0)</f>
        <v>45943</v>
      </c>
      <c r="B103" s="48" t="str">
        <f>IFERROR(__xludf.DUMMYFUNCTION("""COMPUTED_VALUE"""),"Transportation")</f>
        <v>Transportation</v>
      </c>
      <c r="C103" s="48" t="str">
        <f>IFERROR(__xludf.DUMMYFUNCTION("""COMPUTED_VALUE"""),"Fuel")</f>
        <v>Fuel</v>
      </c>
      <c r="D103" s="49">
        <f>IFERROR(__xludf.DUMMYFUNCTION("""COMPUTED_VALUE"""),750.0)</f>
        <v>750</v>
      </c>
      <c r="E103" s="48" t="str">
        <f>IFERROR(__xludf.DUMMYFUNCTION("""COMPUTED_VALUE"""),"Caltex")</f>
        <v>Caltex</v>
      </c>
      <c r="F103" s="48"/>
      <c r="G103" s="46"/>
      <c r="H103" s="50"/>
      <c r="I103" s="48"/>
      <c r="J103" s="48"/>
      <c r="K103" s="48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47">
        <f>IFERROR(__xludf.DUMMYFUNCTION("""COMPUTED_VALUE"""),45943.0)</f>
        <v>45943</v>
      </c>
      <c r="B104" s="48" t="str">
        <f>IFERROR(__xludf.DUMMYFUNCTION("""COMPUTED_VALUE"""),"Food &amp; Drink")</f>
        <v>Food &amp; Drink</v>
      </c>
      <c r="C104" s="48" t="str">
        <f>IFERROR(__xludf.DUMMYFUNCTION("""COMPUTED_VALUE"""),"Main meals")</f>
        <v>Main meals</v>
      </c>
      <c r="D104" s="49">
        <f>IFERROR(__xludf.DUMMYFUNCTION("""COMPUTED_VALUE"""),149.0)</f>
        <v>149</v>
      </c>
      <c r="E104" s="48" t="str">
        <f>IFERROR(__xludf.DUMMYFUNCTION("""COMPUTED_VALUE"""),"Subway")</f>
        <v>Subway</v>
      </c>
      <c r="F104" s="48" t="str">
        <f>IFERROR(__xludf.DUMMYFUNCTION("""COMPUTED_VALUE"""),"ข้าวหน้าเนื้อ")</f>
        <v>ข้าวหน้าเนื้อ</v>
      </c>
      <c r="G104" s="46"/>
      <c r="H104" s="50"/>
      <c r="I104" s="48"/>
      <c r="J104" s="48"/>
      <c r="K104" s="48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47">
        <f>IFERROR(__xludf.DUMMYFUNCTION("""COMPUTED_VALUE"""),45943.0)</f>
        <v>45943</v>
      </c>
      <c r="B105" s="48" t="str">
        <f>IFERROR(__xludf.DUMMYFUNCTION("""COMPUTED_VALUE"""),"Service")</f>
        <v>Service</v>
      </c>
      <c r="C105" s="48" t="str">
        <f>IFERROR(__xludf.DUMMYFUNCTION("""COMPUTED_VALUE"""),"Subscription")</f>
        <v>Subscription</v>
      </c>
      <c r="D105" s="49">
        <f>IFERROR(__xludf.DUMMYFUNCTION("""COMPUTED_VALUE"""),36.0)</f>
        <v>36</v>
      </c>
      <c r="E105" s="48" t="str">
        <f>IFERROR(__xludf.DUMMYFUNCTION("""COMPUTED_VALUE"""),"YT Premium")</f>
        <v>YT Premium</v>
      </c>
      <c r="F105" s="48"/>
      <c r="G105" s="46"/>
      <c r="H105" s="50"/>
      <c r="I105" s="48"/>
      <c r="J105" s="48"/>
      <c r="K105" s="48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47">
        <f>IFERROR(__xludf.DUMMYFUNCTION("""COMPUTED_VALUE"""),45943.0)</f>
        <v>45943</v>
      </c>
      <c r="B106" s="48" t="str">
        <f>IFERROR(__xludf.DUMMYFUNCTION("""COMPUTED_VALUE"""),"Food &amp; Drink")</f>
        <v>Food &amp; Drink</v>
      </c>
      <c r="C106" s="48" t="str">
        <f>IFERROR(__xludf.DUMMYFUNCTION("""COMPUTED_VALUE"""),"Main meals")</f>
        <v>Main meals</v>
      </c>
      <c r="D106" s="49">
        <f>IFERROR(__xludf.DUMMYFUNCTION("""COMPUTED_VALUE"""),60.0)</f>
        <v>60</v>
      </c>
      <c r="E106" s="48"/>
      <c r="F106" s="48" t="str">
        <f>IFERROR(__xludf.DUMMYFUNCTION("""COMPUTED_VALUE"""),"กะเพรา")</f>
        <v>กะเพรา</v>
      </c>
      <c r="G106" s="46"/>
      <c r="H106" s="50"/>
      <c r="I106" s="48"/>
      <c r="J106" s="48"/>
      <c r="K106" s="48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47">
        <f>IFERROR(__xludf.DUMMYFUNCTION("""COMPUTED_VALUE"""),45943.0)</f>
        <v>45943</v>
      </c>
      <c r="B107" s="48" t="str">
        <f>IFERROR(__xludf.DUMMYFUNCTION("""COMPUTED_VALUE"""),"Residence")</f>
        <v>Residence</v>
      </c>
      <c r="C107" s="48" t="str">
        <f>IFERROR(__xludf.DUMMYFUNCTION("""COMPUTED_VALUE"""),"Electricity Bill-A")</f>
        <v>Electricity Bill-A</v>
      </c>
      <c r="D107" s="49">
        <f>IFERROR(__xludf.DUMMYFUNCTION("""COMPUTED_VALUE"""),2670.31)</f>
        <v>2670.31</v>
      </c>
      <c r="E107" s="48"/>
      <c r="F107" s="48"/>
      <c r="G107" s="46"/>
      <c r="H107" s="50"/>
      <c r="I107" s="48"/>
      <c r="J107" s="48"/>
      <c r="K107" s="48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47">
        <f>IFERROR(__xludf.DUMMYFUNCTION("""COMPUTED_VALUE"""),45942.0)</f>
        <v>45942</v>
      </c>
      <c r="B108" s="48" t="str">
        <f>IFERROR(__xludf.DUMMYFUNCTION("""COMPUTED_VALUE"""),"Food &amp; Drink")</f>
        <v>Food &amp; Drink</v>
      </c>
      <c r="C108" s="48" t="str">
        <f>IFERROR(__xludf.DUMMYFUNCTION("""COMPUTED_VALUE"""),"Snacks")</f>
        <v>Snacks</v>
      </c>
      <c r="D108" s="49">
        <f>IFERROR(__xludf.DUMMYFUNCTION("""COMPUTED_VALUE"""),72.0)</f>
        <v>72</v>
      </c>
      <c r="E108" s="48"/>
      <c r="F108" s="48" t="str">
        <f>IFERROR(__xludf.DUMMYFUNCTION("""COMPUTED_VALUE"""),"icream, น้ำเปล่า")</f>
        <v>icream, น้ำเปล่า</v>
      </c>
      <c r="G108" s="46"/>
      <c r="H108" s="50"/>
      <c r="I108" s="48"/>
      <c r="J108" s="48"/>
      <c r="K108" s="48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47">
        <f>IFERROR(__xludf.DUMMYFUNCTION("""COMPUTED_VALUE"""),45942.0)</f>
        <v>45942</v>
      </c>
      <c r="B109" s="48" t="str">
        <f>IFERROR(__xludf.DUMMYFUNCTION("""COMPUTED_VALUE"""),"Food &amp; Drink")</f>
        <v>Food &amp; Drink</v>
      </c>
      <c r="C109" s="48" t="str">
        <f>IFERROR(__xludf.DUMMYFUNCTION("""COMPUTED_VALUE"""),"Snacks")</f>
        <v>Snacks</v>
      </c>
      <c r="D109" s="49">
        <f>IFERROR(__xludf.DUMMYFUNCTION("""COMPUTED_VALUE"""),140.0)</f>
        <v>140</v>
      </c>
      <c r="E109" s="48" t="str">
        <f>IFERROR(__xludf.DUMMYFUNCTION("""COMPUTED_VALUE"""),"7-Eleven")</f>
        <v>7-Eleven</v>
      </c>
      <c r="F109" s="48" t="str">
        <f>IFERROR(__xludf.DUMMYFUNCTION("""COMPUTED_VALUE"""),"ขนมตอนไป outing")</f>
        <v>ขนมตอนไป outing</v>
      </c>
      <c r="G109" s="46"/>
      <c r="H109" s="50"/>
      <c r="I109" s="48"/>
      <c r="J109" s="48"/>
      <c r="K109" s="48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47">
        <f>IFERROR(__xludf.DUMMYFUNCTION("""COMPUTED_VALUE"""),45941.0)</f>
        <v>45941</v>
      </c>
      <c r="B110" s="48" t="str">
        <f>IFERROR(__xludf.DUMMYFUNCTION("""COMPUTED_VALUE"""),"Food &amp; Drink")</f>
        <v>Food &amp; Drink</v>
      </c>
      <c r="C110" s="48" t="str">
        <f>IFERROR(__xludf.DUMMYFUNCTION("""COMPUTED_VALUE"""),"Drinks")</f>
        <v>Drinks</v>
      </c>
      <c r="D110" s="49">
        <f>IFERROR(__xludf.DUMMYFUNCTION("""COMPUTED_VALUE"""),95.0)</f>
        <v>95</v>
      </c>
      <c r="E110" s="48" t="str">
        <f>IFERROR(__xludf.DUMMYFUNCTION("""COMPUTED_VALUE"""),"Amazon")</f>
        <v>Amazon</v>
      </c>
      <c r="F110" s="48"/>
      <c r="G110" s="46"/>
      <c r="H110" s="50"/>
      <c r="I110" s="48"/>
      <c r="J110" s="48"/>
      <c r="K110" s="48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47">
        <f>IFERROR(__xludf.DUMMYFUNCTION("""COMPUTED_VALUE"""),45941.0)</f>
        <v>45941</v>
      </c>
      <c r="B111" s="48" t="str">
        <f>IFERROR(__xludf.DUMMYFUNCTION("""COMPUTED_VALUE"""),"Items")</f>
        <v>Items</v>
      </c>
      <c r="C111" s="48" t="str">
        <f>IFERROR(__xludf.DUMMYFUNCTION("""COMPUTED_VALUE"""),"Skincare")</f>
        <v>Skincare</v>
      </c>
      <c r="D111" s="49">
        <f>IFERROR(__xludf.DUMMYFUNCTION("""COMPUTED_VALUE"""),69.0)</f>
        <v>69</v>
      </c>
      <c r="E111" s="48" t="str">
        <f>IFERROR(__xludf.DUMMYFUNCTION("""COMPUTED_VALUE"""),"7-Eleven")</f>
        <v>7-Eleven</v>
      </c>
      <c r="F111" s="48" t="str">
        <f>IFERROR(__xludf.DUMMYFUNCTION("""COMPUTED_VALUE"""),"moiturizer")</f>
        <v>moiturizer</v>
      </c>
      <c r="G111" s="46"/>
      <c r="H111" s="50"/>
      <c r="I111" s="48"/>
      <c r="J111" s="48"/>
      <c r="K111" s="48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47">
        <f>IFERROR(__xludf.DUMMYFUNCTION("""COMPUTED_VALUE"""),45940.0)</f>
        <v>45940</v>
      </c>
      <c r="B112" s="48" t="str">
        <f>IFERROR(__xludf.DUMMYFUNCTION("""COMPUTED_VALUE"""),"Transportation")</f>
        <v>Transportation</v>
      </c>
      <c r="C112" s="48" t="str">
        <f>IFERROR(__xludf.DUMMYFUNCTION("""COMPUTED_VALUE"""),"Fuel")</f>
        <v>Fuel</v>
      </c>
      <c r="D112" s="49">
        <f>IFERROR(__xludf.DUMMYFUNCTION("""COMPUTED_VALUE"""),750.0)</f>
        <v>750</v>
      </c>
      <c r="E112" s="48" t="str">
        <f>IFERROR(__xludf.DUMMYFUNCTION("""COMPUTED_VALUE"""),"Caltex")</f>
        <v>Caltex</v>
      </c>
      <c r="F112" s="48"/>
      <c r="G112" s="46"/>
      <c r="H112" s="50"/>
      <c r="I112" s="48"/>
      <c r="J112" s="48"/>
      <c r="K112" s="48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47">
        <f>IFERROR(__xludf.DUMMYFUNCTION("""COMPUTED_VALUE"""),45940.0)</f>
        <v>45940</v>
      </c>
      <c r="B113" s="48" t="str">
        <f>IFERROR(__xludf.DUMMYFUNCTION("""COMPUTED_VALUE"""),"Food &amp; Drink")</f>
        <v>Food &amp; Drink</v>
      </c>
      <c r="C113" s="48" t="str">
        <f>IFERROR(__xludf.DUMMYFUNCTION("""COMPUTED_VALUE"""),"Main meals")</f>
        <v>Main meals</v>
      </c>
      <c r="D113" s="49">
        <f>IFERROR(__xludf.DUMMYFUNCTION("""COMPUTED_VALUE"""),95.0)</f>
        <v>95</v>
      </c>
      <c r="E113" s="48"/>
      <c r="F113" s="48" t="str">
        <f>IFERROR(__xludf.DUMMYFUNCTION("""COMPUTED_VALUE"""),"กะเพรา")</f>
        <v>กะเพรา</v>
      </c>
      <c r="G113" s="46"/>
      <c r="H113" s="50"/>
      <c r="I113" s="48"/>
      <c r="J113" s="48"/>
      <c r="K113" s="48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47">
        <f>IFERROR(__xludf.DUMMYFUNCTION("""COMPUTED_VALUE"""),45939.0)</f>
        <v>45939</v>
      </c>
      <c r="B114" s="48" t="str">
        <f>IFERROR(__xludf.DUMMYFUNCTION("""COMPUTED_VALUE"""),"Food &amp; Drink")</f>
        <v>Food &amp; Drink</v>
      </c>
      <c r="C114" s="48" t="str">
        <f>IFERROR(__xludf.DUMMYFUNCTION("""COMPUTED_VALUE"""),"Groceries")</f>
        <v>Groceries</v>
      </c>
      <c r="D114" s="49">
        <f>IFERROR(__xludf.DUMMYFUNCTION("""COMPUTED_VALUE"""),179.0)</f>
        <v>179</v>
      </c>
      <c r="E114" s="48"/>
      <c r="F114" s="48" t="str">
        <f>IFERROR(__xludf.DUMMYFUNCTION("""COMPUTED_VALUE"""),"ผัก, กระดูกหมู, ข้าวโพด")</f>
        <v>ผัก, กระดูกหมู, ข้าวโพด</v>
      </c>
      <c r="G114" s="46"/>
      <c r="H114" s="50"/>
      <c r="I114" s="48"/>
      <c r="J114" s="48"/>
      <c r="K114" s="48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47">
        <f>IFERROR(__xludf.DUMMYFUNCTION("""COMPUTED_VALUE"""),45939.0)</f>
        <v>45939</v>
      </c>
      <c r="B115" s="48" t="str">
        <f>IFERROR(__xludf.DUMMYFUNCTION("""COMPUTED_VALUE"""),"Food &amp; Drink")</f>
        <v>Food &amp; Drink</v>
      </c>
      <c r="C115" s="48" t="str">
        <f>IFERROR(__xludf.DUMMYFUNCTION("""COMPUTED_VALUE"""),"Main meals")</f>
        <v>Main meals</v>
      </c>
      <c r="D115" s="49">
        <f>IFERROR(__xludf.DUMMYFUNCTION("""COMPUTED_VALUE"""),125.0)</f>
        <v>125</v>
      </c>
      <c r="E115" s="48"/>
      <c r="F115" s="48" t="str">
        <f>IFERROR(__xludf.DUMMYFUNCTION("""COMPUTED_VALUE"""),"ไส้กรอก, หมูกรอบ")</f>
        <v>ไส้กรอก, หมูกรอบ</v>
      </c>
      <c r="G115" s="46"/>
      <c r="H115" s="50"/>
      <c r="I115" s="48"/>
      <c r="J115" s="48"/>
      <c r="K115" s="48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47">
        <f>IFERROR(__xludf.DUMMYFUNCTION("""COMPUTED_VALUE"""),45938.0)</f>
        <v>45938</v>
      </c>
      <c r="B116" s="48" t="str">
        <f>IFERROR(__xludf.DUMMYFUNCTION("""COMPUTED_VALUE"""),"Food &amp; Drink")</f>
        <v>Food &amp; Drink</v>
      </c>
      <c r="C116" s="48" t="str">
        <f>IFERROR(__xludf.DUMMYFUNCTION("""COMPUTED_VALUE"""),"Snacks")</f>
        <v>Snacks</v>
      </c>
      <c r="D116" s="49">
        <f>IFERROR(__xludf.DUMMYFUNCTION("""COMPUTED_VALUE"""),80.0)</f>
        <v>80</v>
      </c>
      <c r="E116" s="48"/>
      <c r="F116" s="48" t="str">
        <f>IFERROR(__xludf.DUMMYFUNCTION("""COMPUTED_VALUE"""),"ขนมจีบซาลาเปา")</f>
        <v>ขนมจีบซาลาเปา</v>
      </c>
      <c r="G116" s="46"/>
      <c r="H116" s="50"/>
      <c r="I116" s="48"/>
      <c r="J116" s="48"/>
      <c r="K116" s="48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47">
        <f>IFERROR(__xludf.DUMMYFUNCTION("""COMPUTED_VALUE"""),45938.0)</f>
        <v>45938</v>
      </c>
      <c r="B117" s="48" t="str">
        <f>IFERROR(__xludf.DUMMYFUNCTION("""COMPUTED_VALUE"""),"Food &amp; Drink")</f>
        <v>Food &amp; Drink</v>
      </c>
      <c r="C117" s="48" t="str">
        <f>IFERROR(__xludf.DUMMYFUNCTION("""COMPUTED_VALUE"""),"Drinks")</f>
        <v>Drinks</v>
      </c>
      <c r="D117" s="49">
        <f>IFERROR(__xludf.DUMMYFUNCTION("""COMPUTED_VALUE"""),113.0)</f>
        <v>113</v>
      </c>
      <c r="E117" s="48" t="str">
        <f>IFERROR(__xludf.DUMMYFUNCTION("""COMPUTED_VALUE"""),"7-Eleven")</f>
        <v>7-Eleven</v>
      </c>
      <c r="F117" s="48" t="str">
        <f>IFERROR(__xludf.DUMMYFUNCTION("""COMPUTED_VALUE"""),"pepsi, นม")</f>
        <v>pepsi, นม</v>
      </c>
      <c r="G117" s="46"/>
      <c r="H117" s="50"/>
      <c r="I117" s="48"/>
      <c r="J117" s="48"/>
      <c r="K117" s="48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47">
        <f>IFERROR(__xludf.DUMMYFUNCTION("""COMPUTED_VALUE"""),45938.0)</f>
        <v>45938</v>
      </c>
      <c r="B118" s="48" t="str">
        <f>IFERROR(__xludf.DUMMYFUNCTION("""COMPUTED_VALUE"""),"Food &amp; Drink")</f>
        <v>Food &amp; Drink</v>
      </c>
      <c r="C118" s="48" t="str">
        <f>IFERROR(__xludf.DUMMYFUNCTION("""COMPUTED_VALUE"""),"Main meals")</f>
        <v>Main meals</v>
      </c>
      <c r="D118" s="49">
        <f>IFERROR(__xludf.DUMMYFUNCTION("""COMPUTED_VALUE"""),106.0)</f>
        <v>106</v>
      </c>
      <c r="E118" s="48" t="str">
        <f>IFERROR(__xludf.DUMMYFUNCTION("""COMPUTED_VALUE"""),"7-Eleven")</f>
        <v>7-Eleven</v>
      </c>
      <c r="F118" s="48" t="str">
        <f>IFERROR(__xludf.DUMMYFUNCTION("""COMPUTED_VALUE"""),"ไส้กรอก, สลัดอกไก่")</f>
        <v>ไส้กรอก, สลัดอกไก่</v>
      </c>
      <c r="G118" s="46"/>
      <c r="H118" s="50"/>
      <c r="I118" s="48"/>
      <c r="J118" s="48"/>
      <c r="K118" s="48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47">
        <f>IFERROR(__xludf.DUMMYFUNCTION("""COMPUTED_VALUE"""),45937.0)</f>
        <v>45937</v>
      </c>
      <c r="B119" s="48" t="str">
        <f>IFERROR(__xludf.DUMMYFUNCTION("""COMPUTED_VALUE"""),"Food &amp; Drink")</f>
        <v>Food &amp; Drink</v>
      </c>
      <c r="C119" s="48" t="str">
        <f>IFERROR(__xludf.DUMMYFUNCTION("""COMPUTED_VALUE"""),"Drinks")</f>
        <v>Drinks</v>
      </c>
      <c r="D119" s="49">
        <f>IFERROR(__xludf.DUMMYFUNCTION("""COMPUTED_VALUE"""),85.0)</f>
        <v>85</v>
      </c>
      <c r="E119" s="48"/>
      <c r="F119" s="48" t="str">
        <f>IFERROR(__xludf.DUMMYFUNCTION("""COMPUTED_VALUE"""),"ชานม Koi")</f>
        <v>ชานม Koi</v>
      </c>
      <c r="G119" s="46"/>
      <c r="H119" s="50"/>
      <c r="I119" s="48"/>
      <c r="J119" s="48"/>
      <c r="K119" s="48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47">
        <f>IFERROR(__xludf.DUMMYFUNCTION("""COMPUTED_VALUE"""),45937.0)</f>
        <v>45937</v>
      </c>
      <c r="B120" s="48" t="str">
        <f>IFERROR(__xludf.DUMMYFUNCTION("""COMPUTED_VALUE"""),"Food &amp; Drink")</f>
        <v>Food &amp; Drink</v>
      </c>
      <c r="C120" s="48" t="str">
        <f>IFERROR(__xludf.DUMMYFUNCTION("""COMPUTED_VALUE"""),"Main meals")</f>
        <v>Main meals</v>
      </c>
      <c r="D120" s="49">
        <f>IFERROR(__xludf.DUMMYFUNCTION("""COMPUTED_VALUE"""),219.0)</f>
        <v>219</v>
      </c>
      <c r="E120" s="48"/>
      <c r="F120" s="48" t="str">
        <f>IFERROR(__xludf.DUMMYFUNCTION("""COMPUTED_VALUE"""),"Babigon")</f>
        <v>Babigon</v>
      </c>
      <c r="G120" s="46"/>
      <c r="H120" s="50"/>
      <c r="I120" s="48"/>
      <c r="J120" s="48"/>
      <c r="K120" s="48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47">
        <f>IFERROR(__xludf.DUMMYFUNCTION("""COMPUTED_VALUE"""),45937.0)</f>
        <v>45937</v>
      </c>
      <c r="B121" s="48" t="str">
        <f>IFERROR(__xludf.DUMMYFUNCTION("""COMPUTED_VALUE"""),"Items")</f>
        <v>Items</v>
      </c>
      <c r="C121" s="48" t="str">
        <f>IFERROR(__xludf.DUMMYFUNCTION("""COMPUTED_VALUE"""),"Personal Items")</f>
        <v>Personal Items</v>
      </c>
      <c r="D121" s="49">
        <f>IFERROR(__xludf.DUMMYFUNCTION("""COMPUTED_VALUE"""),250.0)</f>
        <v>250</v>
      </c>
      <c r="E121" s="48"/>
      <c r="F121" s="48" t="str">
        <f>IFERROR(__xludf.DUMMYFUNCTION("""COMPUTED_VALUE"""),"น้ำหอม kamakkamen")</f>
        <v>น้ำหอม kamakkamen</v>
      </c>
      <c r="G121" s="46"/>
      <c r="H121" s="50"/>
      <c r="I121" s="48"/>
      <c r="J121" s="48"/>
      <c r="K121" s="48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47">
        <f>IFERROR(__xludf.DUMMYFUNCTION("""COMPUTED_VALUE"""),45937.0)</f>
        <v>45937</v>
      </c>
      <c r="B122" s="48" t="str">
        <f>IFERROR(__xludf.DUMMYFUNCTION("""COMPUTED_VALUE"""),"Health")</f>
        <v>Health</v>
      </c>
      <c r="C122" s="48" t="str">
        <f>IFERROR(__xludf.DUMMYFUNCTION("""COMPUTED_VALUE"""),"Others")</f>
        <v>Others</v>
      </c>
      <c r="D122" s="49">
        <f>IFERROR(__xludf.DUMMYFUNCTION("""COMPUTED_VALUE"""),40.0)</f>
        <v>40</v>
      </c>
      <c r="E122" s="48" t="str">
        <f>IFERROR(__xludf.DUMMYFUNCTION("""COMPUTED_VALUE"""),"7-Eleven")</f>
        <v>7-Eleven</v>
      </c>
      <c r="F122" s="48" t="str">
        <f>IFERROR(__xludf.DUMMYFUNCTION("""COMPUTED_VALUE"""),"ยาลดกรด")</f>
        <v>ยาลดกรด</v>
      </c>
      <c r="G122" s="46"/>
      <c r="H122" s="50"/>
      <c r="I122" s="48"/>
      <c r="J122" s="48"/>
      <c r="K122" s="48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47">
        <f>IFERROR(__xludf.DUMMYFUNCTION("""COMPUTED_VALUE"""),45936.0)</f>
        <v>45936</v>
      </c>
      <c r="B123" s="48" t="str">
        <f>IFERROR(__xludf.DUMMYFUNCTION("""COMPUTED_VALUE"""),"Food &amp; Drink")</f>
        <v>Food &amp; Drink</v>
      </c>
      <c r="C123" s="48" t="str">
        <f>IFERROR(__xludf.DUMMYFUNCTION("""COMPUTED_VALUE"""),"Main meals")</f>
        <v>Main meals</v>
      </c>
      <c r="D123" s="49">
        <f>IFERROR(__xludf.DUMMYFUNCTION("""COMPUTED_VALUE"""),169.0)</f>
        <v>169</v>
      </c>
      <c r="E123" s="48" t="str">
        <f>IFERROR(__xludf.DUMMYFUNCTION("""COMPUTED_VALUE"""),"Noodle")</f>
        <v>Noodle</v>
      </c>
      <c r="F123" s="48"/>
      <c r="G123" s="46"/>
      <c r="H123" s="50"/>
      <c r="I123" s="48"/>
      <c r="J123" s="48"/>
      <c r="K123" s="48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47">
        <f>IFERROR(__xludf.DUMMYFUNCTION("""COMPUTED_VALUE"""),45936.0)</f>
        <v>45936</v>
      </c>
      <c r="B124" s="48" t="str">
        <f>IFERROR(__xludf.DUMMYFUNCTION("""COMPUTED_VALUE"""),"Service")</f>
        <v>Service</v>
      </c>
      <c r="C124" s="48" t="str">
        <f>IFERROR(__xludf.DUMMYFUNCTION("""COMPUTED_VALUE"""),"Subscription")</f>
        <v>Subscription</v>
      </c>
      <c r="D124" s="49">
        <f>IFERROR(__xludf.DUMMYFUNCTION("""COMPUTED_VALUE"""),19.0)</f>
        <v>19</v>
      </c>
      <c r="E124" s="48"/>
      <c r="F124" s="48" t="str">
        <f>IFERROR(__xludf.DUMMYFUNCTION("""COMPUTED_VALUE"""),"Subscribe K.Earthh Evans")</f>
        <v>Subscribe K.Earthh Evans</v>
      </c>
      <c r="G124" s="46"/>
      <c r="H124" s="50"/>
      <c r="I124" s="48"/>
      <c r="J124" s="48"/>
      <c r="K124" s="48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47">
        <f>IFERROR(__xludf.DUMMYFUNCTION("""COMPUTED_VALUE"""),45936.0)</f>
        <v>45936</v>
      </c>
      <c r="B125" s="48" t="str">
        <f>IFERROR(__xludf.DUMMYFUNCTION("""COMPUTED_VALUE"""),"Food &amp; Drink")</f>
        <v>Food &amp; Drink</v>
      </c>
      <c r="C125" s="48" t="str">
        <f>IFERROR(__xludf.DUMMYFUNCTION("""COMPUTED_VALUE"""),"Snacks")</f>
        <v>Snacks</v>
      </c>
      <c r="D125" s="49">
        <f>IFERROR(__xludf.DUMMYFUNCTION("""COMPUTED_VALUE"""),40.0)</f>
        <v>40</v>
      </c>
      <c r="E125" s="48"/>
      <c r="F125" s="48" t="str">
        <f>IFERROR(__xludf.DUMMYFUNCTION("""COMPUTED_VALUE"""),"ลูกชิ้น")</f>
        <v>ลูกชิ้น</v>
      </c>
      <c r="G125" s="46"/>
      <c r="H125" s="50"/>
      <c r="I125" s="48"/>
      <c r="J125" s="48"/>
      <c r="K125" s="48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47">
        <f>IFERROR(__xludf.DUMMYFUNCTION("""COMPUTED_VALUE"""),45936.0)</f>
        <v>45936</v>
      </c>
      <c r="B126" s="48" t="str">
        <f>IFERROR(__xludf.DUMMYFUNCTION("""COMPUTED_VALUE"""),"Food &amp; Drink")</f>
        <v>Food &amp; Drink</v>
      </c>
      <c r="C126" s="48" t="str">
        <f>IFERROR(__xludf.DUMMYFUNCTION("""COMPUTED_VALUE"""),"Main meals")</f>
        <v>Main meals</v>
      </c>
      <c r="D126" s="49">
        <f>IFERROR(__xludf.DUMMYFUNCTION("""COMPUTED_VALUE"""),50.0)</f>
        <v>50</v>
      </c>
      <c r="E126" s="48" t="str">
        <f>IFERROR(__xludf.DUMMYFUNCTION("""COMPUTED_VALUE"""),"Hainanese chicken rice")</f>
        <v>Hainanese chicken rice</v>
      </c>
      <c r="F126" s="48"/>
      <c r="G126" s="46"/>
      <c r="H126" s="50"/>
      <c r="I126" s="48"/>
      <c r="J126" s="48"/>
      <c r="K126" s="48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47">
        <f>IFERROR(__xludf.DUMMYFUNCTION("""COMPUTED_VALUE"""),45936.0)</f>
        <v>45936</v>
      </c>
      <c r="B127" s="48" t="str">
        <f>IFERROR(__xludf.DUMMYFUNCTION("""COMPUTED_VALUE"""),"Food &amp; Drink")</f>
        <v>Food &amp; Drink</v>
      </c>
      <c r="C127" s="48" t="str">
        <f>IFERROR(__xludf.DUMMYFUNCTION("""COMPUTED_VALUE"""),"Alcohol")</f>
        <v>Alcohol</v>
      </c>
      <c r="D127" s="49">
        <f>IFERROR(__xludf.DUMMYFUNCTION("""COMPUTED_VALUE"""),62.0)</f>
        <v>62</v>
      </c>
      <c r="E127" s="48" t="str">
        <f>IFERROR(__xludf.DUMMYFUNCTION("""COMPUTED_VALUE"""),"7-Eleven")</f>
        <v>7-Eleven</v>
      </c>
      <c r="F127" s="48"/>
      <c r="G127" s="46"/>
      <c r="H127" s="50"/>
      <c r="I127" s="48"/>
      <c r="J127" s="48"/>
      <c r="K127" s="48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47">
        <f>IFERROR(__xludf.DUMMYFUNCTION("""COMPUTED_VALUE"""),45935.0)</f>
        <v>45935</v>
      </c>
      <c r="B128" s="48" t="str">
        <f>IFERROR(__xludf.DUMMYFUNCTION("""COMPUTED_VALUE"""),"Food &amp; Drink")</f>
        <v>Food &amp; Drink</v>
      </c>
      <c r="C128" s="48" t="str">
        <f>IFERROR(__xludf.DUMMYFUNCTION("""COMPUTED_VALUE"""),"Groceries")</f>
        <v>Groceries</v>
      </c>
      <c r="D128" s="49">
        <f>IFERROR(__xludf.DUMMYFUNCTION("""COMPUTED_VALUE"""),60.0)</f>
        <v>60</v>
      </c>
      <c r="E128" s="48"/>
      <c r="F128" s="48" t="str">
        <f>IFERROR(__xludf.DUMMYFUNCTION("""COMPUTED_VALUE"""),"มะพร้าว")</f>
        <v>มะพร้าว</v>
      </c>
      <c r="G128" s="46"/>
      <c r="H128" s="50"/>
      <c r="I128" s="48"/>
      <c r="J128" s="48"/>
      <c r="K128" s="48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47">
        <f>IFERROR(__xludf.DUMMYFUNCTION("""COMPUTED_VALUE"""),45935.0)</f>
        <v>45935</v>
      </c>
      <c r="B129" s="48" t="str">
        <f>IFERROR(__xludf.DUMMYFUNCTION("""COMPUTED_VALUE"""),"Food &amp; Drink")</f>
        <v>Food &amp; Drink</v>
      </c>
      <c r="C129" s="48" t="str">
        <f>IFERROR(__xludf.DUMMYFUNCTION("""COMPUTED_VALUE"""),"Main meals")</f>
        <v>Main meals</v>
      </c>
      <c r="D129" s="49">
        <f>IFERROR(__xludf.DUMMYFUNCTION("""COMPUTED_VALUE"""),25.0)</f>
        <v>25</v>
      </c>
      <c r="E129" s="48"/>
      <c r="F129" s="48" t="str">
        <f>IFERROR(__xludf.DUMMYFUNCTION("""COMPUTED_VALUE"""),"ข้าวผัด")</f>
        <v>ข้าวผัด</v>
      </c>
      <c r="G129" s="46"/>
      <c r="H129" s="50"/>
      <c r="I129" s="48"/>
      <c r="J129" s="48"/>
      <c r="K129" s="48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47">
        <f>IFERROR(__xludf.DUMMYFUNCTION("""COMPUTED_VALUE"""),45935.0)</f>
        <v>45935</v>
      </c>
      <c r="B130" s="48" t="str">
        <f>IFERROR(__xludf.DUMMYFUNCTION("""COMPUTED_VALUE"""),"Food &amp; Drink")</f>
        <v>Food &amp; Drink</v>
      </c>
      <c r="C130" s="48" t="str">
        <f>IFERROR(__xludf.DUMMYFUNCTION("""COMPUTED_VALUE"""),"Main meals")</f>
        <v>Main meals</v>
      </c>
      <c r="D130" s="49">
        <f>IFERROR(__xludf.DUMMYFUNCTION("""COMPUTED_VALUE"""),284.0)</f>
        <v>284</v>
      </c>
      <c r="E130" s="48"/>
      <c r="F130" s="48" t="str">
        <f>IFERROR(__xludf.DUMMYFUNCTION("""COMPUTED_VALUE"""),"หมูกะทะ")</f>
        <v>หมูกะทะ</v>
      </c>
      <c r="G130" s="46"/>
      <c r="H130" s="50"/>
      <c r="I130" s="48"/>
      <c r="J130" s="48"/>
      <c r="K130" s="48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47">
        <f>IFERROR(__xludf.DUMMYFUNCTION("""COMPUTED_VALUE"""),45934.0)</f>
        <v>45934</v>
      </c>
      <c r="B131" s="48" t="str">
        <f>IFERROR(__xludf.DUMMYFUNCTION("""COMPUTED_VALUE"""),"Transportation")</f>
        <v>Transportation</v>
      </c>
      <c r="C131" s="48" t="str">
        <f>IFERROR(__xludf.DUMMYFUNCTION("""COMPUTED_VALUE"""),"Fuel")</f>
        <v>Fuel</v>
      </c>
      <c r="D131" s="49">
        <f>IFERROR(__xludf.DUMMYFUNCTION("""COMPUTED_VALUE"""),750.0)</f>
        <v>750</v>
      </c>
      <c r="E131" s="48" t="str">
        <f>IFERROR(__xludf.DUMMYFUNCTION("""COMPUTED_VALUE"""),"Caltex")</f>
        <v>Caltex</v>
      </c>
      <c r="F131" s="48"/>
      <c r="G131" s="46"/>
      <c r="H131" s="50"/>
      <c r="I131" s="48"/>
      <c r="J131" s="48"/>
      <c r="K131" s="48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47">
        <f>IFERROR(__xludf.DUMMYFUNCTION("""COMPUTED_VALUE"""),45934.0)</f>
        <v>45934</v>
      </c>
      <c r="B132" s="48" t="str">
        <f>IFERROR(__xludf.DUMMYFUNCTION("""COMPUTED_VALUE"""),"Food &amp; Drink")</f>
        <v>Food &amp; Drink</v>
      </c>
      <c r="C132" s="48" t="str">
        <f>IFERROR(__xludf.DUMMYFUNCTION("""COMPUTED_VALUE"""),"Main meals")</f>
        <v>Main meals</v>
      </c>
      <c r="D132" s="49">
        <f>IFERROR(__xludf.DUMMYFUNCTION("""COMPUTED_VALUE"""),169.0)</f>
        <v>169</v>
      </c>
      <c r="E132" s="48"/>
      <c r="F132" s="48" t="str">
        <f>IFERROR(__xludf.DUMMYFUNCTION("""COMPUTED_VALUE"""),"Taco Bell")</f>
        <v>Taco Bell</v>
      </c>
      <c r="G132" s="46"/>
      <c r="H132" s="50"/>
      <c r="I132" s="48"/>
      <c r="J132" s="48"/>
      <c r="K132" s="48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47">
        <f>IFERROR(__xludf.DUMMYFUNCTION("""COMPUTED_VALUE"""),45933.0)</f>
        <v>45933</v>
      </c>
      <c r="B133" s="48" t="str">
        <f>IFERROR(__xludf.DUMMYFUNCTION("""COMPUTED_VALUE"""),"Food &amp; Drink")</f>
        <v>Food &amp; Drink</v>
      </c>
      <c r="C133" s="48" t="str">
        <f>IFERROR(__xludf.DUMMYFUNCTION("""COMPUTED_VALUE"""),"Drinks")</f>
        <v>Drinks</v>
      </c>
      <c r="D133" s="49">
        <f>IFERROR(__xludf.DUMMYFUNCTION("""COMPUTED_VALUE"""),35.0)</f>
        <v>35</v>
      </c>
      <c r="E133" s="48"/>
      <c r="F133" s="48" t="str">
        <f>IFERROR(__xludf.DUMMYFUNCTION("""COMPUTED_VALUE"""),"ชานม")</f>
        <v>ชานม</v>
      </c>
      <c r="G133" s="46"/>
      <c r="H133" s="50"/>
      <c r="I133" s="48"/>
      <c r="J133" s="48"/>
      <c r="K133" s="48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47">
        <f>IFERROR(__xludf.DUMMYFUNCTION("""COMPUTED_VALUE"""),45933.0)</f>
        <v>45933</v>
      </c>
      <c r="B134" s="48" t="str">
        <f>IFERROR(__xludf.DUMMYFUNCTION("""COMPUTED_VALUE"""),"Food &amp; Drink")</f>
        <v>Food &amp; Drink</v>
      </c>
      <c r="C134" s="48" t="str">
        <f>IFERROR(__xludf.DUMMYFUNCTION("""COMPUTED_VALUE"""),"Groceries")</f>
        <v>Groceries</v>
      </c>
      <c r="D134" s="49">
        <f>IFERROR(__xludf.DUMMYFUNCTION("""COMPUTED_VALUE"""),41.0)</f>
        <v>41</v>
      </c>
      <c r="E134" s="48" t="str">
        <f>IFERROR(__xludf.DUMMYFUNCTION("""COMPUTED_VALUE"""),"Lotus")</f>
        <v>Lotus</v>
      </c>
      <c r="F134" s="48" t="str">
        <f>IFERROR(__xludf.DUMMYFUNCTION("""COMPUTED_VALUE"""),"หมู")</f>
        <v>หมู</v>
      </c>
      <c r="G134" s="46"/>
      <c r="H134" s="50"/>
      <c r="I134" s="48"/>
      <c r="J134" s="48"/>
      <c r="K134" s="48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47">
        <f>IFERROR(__xludf.DUMMYFUNCTION("""COMPUTED_VALUE"""),45933.0)</f>
        <v>45933</v>
      </c>
      <c r="B135" s="48" t="str">
        <f>IFERROR(__xludf.DUMMYFUNCTION("""COMPUTED_VALUE"""),"Food &amp; Drink")</f>
        <v>Food &amp; Drink</v>
      </c>
      <c r="C135" s="48" t="str">
        <f>IFERROR(__xludf.DUMMYFUNCTION("""COMPUTED_VALUE"""),"Snacks")</f>
        <v>Snacks</v>
      </c>
      <c r="D135" s="49">
        <f>IFERROR(__xludf.DUMMYFUNCTION("""COMPUTED_VALUE"""),39.0)</f>
        <v>39</v>
      </c>
      <c r="E135" s="48" t="str">
        <f>IFERROR(__xludf.DUMMYFUNCTION("""COMPUTED_VALUE"""),"Lotus")</f>
        <v>Lotus</v>
      </c>
      <c r="F135" s="48" t="str">
        <f>IFERROR(__xludf.DUMMYFUNCTION("""COMPUTED_VALUE"""),"ขนมปัง")</f>
        <v>ขนมปัง</v>
      </c>
      <c r="G135" s="46"/>
      <c r="H135" s="50"/>
      <c r="I135" s="48"/>
      <c r="J135" s="48"/>
      <c r="K135" s="48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47">
        <f>IFERROR(__xludf.DUMMYFUNCTION("""COMPUTED_VALUE"""),45933.0)</f>
        <v>45933</v>
      </c>
      <c r="B136" s="48" t="str">
        <f>IFERROR(__xludf.DUMMYFUNCTION("""COMPUTED_VALUE"""),"Food &amp; Drink")</f>
        <v>Food &amp; Drink</v>
      </c>
      <c r="C136" s="48" t="str">
        <f>IFERROR(__xludf.DUMMYFUNCTION("""COMPUTED_VALUE"""),"Snacks")</f>
        <v>Snacks</v>
      </c>
      <c r="D136" s="49">
        <f>IFERROR(__xludf.DUMMYFUNCTION("""COMPUTED_VALUE"""),66.0)</f>
        <v>66</v>
      </c>
      <c r="E136" s="48" t="str">
        <f>IFERROR(__xludf.DUMMYFUNCTION("""COMPUTED_VALUE"""),"7-Eleven")</f>
        <v>7-Eleven</v>
      </c>
      <c r="F136" s="48"/>
      <c r="G136" s="46"/>
      <c r="H136" s="50"/>
      <c r="I136" s="48"/>
      <c r="J136" s="48"/>
      <c r="K136" s="48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47">
        <f>IFERROR(__xludf.DUMMYFUNCTION("""COMPUTED_VALUE"""),45933.0)</f>
        <v>45933</v>
      </c>
      <c r="B137" s="48" t="str">
        <f>IFERROR(__xludf.DUMMYFUNCTION("""COMPUTED_VALUE"""),"Transportation")</f>
        <v>Transportation</v>
      </c>
      <c r="C137" s="48" t="str">
        <f>IFERROR(__xludf.DUMMYFUNCTION("""COMPUTED_VALUE"""),"Maintenance")</f>
        <v>Maintenance</v>
      </c>
      <c r="D137" s="49">
        <f>IFERROR(__xludf.DUMMYFUNCTION("""COMPUTED_VALUE"""),1456.0)</f>
        <v>1456</v>
      </c>
      <c r="E137" s="48" t="str">
        <f>IFERROR(__xludf.DUMMYFUNCTION("""COMPUTED_VALUE"""),"Auto 1")</f>
        <v>Auto 1</v>
      </c>
      <c r="F137" s="48" t="str">
        <f>IFERROR(__xludf.DUMMYFUNCTION("""COMPUTED_VALUE"""),"ผ่อนยางรถ 6/10")</f>
        <v>ผ่อนยางรถ 6/10</v>
      </c>
      <c r="G137" s="46"/>
      <c r="H137" s="50"/>
      <c r="I137" s="48"/>
      <c r="J137" s="48"/>
      <c r="K137" s="48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47">
        <f>IFERROR(__xludf.DUMMYFUNCTION("""COMPUTED_VALUE"""),45932.0)</f>
        <v>45932</v>
      </c>
      <c r="B138" s="48" t="str">
        <f>IFERROR(__xludf.DUMMYFUNCTION("""COMPUTED_VALUE"""),"Food &amp; Drink")</f>
        <v>Food &amp; Drink</v>
      </c>
      <c r="C138" s="48" t="str">
        <f>IFERROR(__xludf.DUMMYFUNCTION("""COMPUTED_VALUE"""),"Main meals")</f>
        <v>Main meals</v>
      </c>
      <c r="D138" s="49">
        <f>IFERROR(__xludf.DUMMYFUNCTION("""COMPUTED_VALUE"""),59.0)</f>
        <v>59</v>
      </c>
      <c r="E138" s="48" t="str">
        <f>IFERROR(__xludf.DUMMYFUNCTION("""COMPUTED_VALUE"""),"KFC")</f>
        <v>KFC</v>
      </c>
      <c r="F138" s="48"/>
      <c r="G138" s="46"/>
      <c r="H138" s="50"/>
      <c r="I138" s="48"/>
      <c r="J138" s="48"/>
      <c r="K138" s="48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47">
        <f>IFERROR(__xludf.DUMMYFUNCTION("""COMPUTED_VALUE"""),45931.0)</f>
        <v>45931</v>
      </c>
      <c r="B139" s="48" t="str">
        <f>IFERROR(__xludf.DUMMYFUNCTION("""COMPUTED_VALUE"""),"Food &amp; Drink")</f>
        <v>Food &amp; Drink</v>
      </c>
      <c r="C139" s="48" t="str">
        <f>IFERROR(__xludf.DUMMYFUNCTION("""COMPUTED_VALUE"""),"Snacks")</f>
        <v>Snacks</v>
      </c>
      <c r="D139" s="49">
        <f>IFERROR(__xludf.DUMMYFUNCTION("""COMPUTED_VALUE"""),118.0)</f>
        <v>118</v>
      </c>
      <c r="E139" s="48" t="str">
        <f>IFERROR(__xludf.DUMMYFUNCTION("""COMPUTED_VALUE"""),"7-Eleven")</f>
        <v>7-Eleven</v>
      </c>
      <c r="F139" s="48"/>
      <c r="G139" s="46"/>
      <c r="H139" s="50"/>
      <c r="I139" s="48"/>
      <c r="J139" s="48"/>
      <c r="K139" s="48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50"/>
      <c r="B140" s="48"/>
      <c r="C140" s="48"/>
      <c r="D140" s="48"/>
      <c r="E140" s="48"/>
      <c r="F140" s="48"/>
      <c r="G140" s="46"/>
      <c r="H140" s="50"/>
      <c r="I140" s="48"/>
      <c r="J140" s="48"/>
      <c r="K140" s="48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50"/>
      <c r="B141" s="48"/>
      <c r="C141" s="48"/>
      <c r="D141" s="48"/>
      <c r="E141" s="48"/>
      <c r="F141" s="48"/>
      <c r="G141" s="46"/>
      <c r="H141" s="50"/>
      <c r="I141" s="48"/>
      <c r="J141" s="48"/>
      <c r="K141" s="48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50"/>
      <c r="B142" s="48"/>
      <c r="C142" s="48"/>
      <c r="D142" s="48"/>
      <c r="E142" s="48"/>
      <c r="F142" s="48"/>
      <c r="G142" s="46"/>
      <c r="H142" s="50"/>
      <c r="I142" s="48"/>
      <c r="J142" s="48"/>
      <c r="K142" s="48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50"/>
      <c r="B143" s="48"/>
      <c r="C143" s="48"/>
      <c r="D143" s="48"/>
      <c r="E143" s="48"/>
      <c r="F143" s="48"/>
      <c r="G143" s="46"/>
      <c r="H143" s="50"/>
      <c r="I143" s="48"/>
      <c r="J143" s="48"/>
      <c r="K143" s="48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50"/>
      <c r="B144" s="48"/>
      <c r="C144" s="48"/>
      <c r="D144" s="48"/>
      <c r="E144" s="48"/>
      <c r="F144" s="48"/>
      <c r="G144" s="46"/>
      <c r="H144" s="50"/>
      <c r="I144" s="48"/>
      <c r="J144" s="48"/>
      <c r="K144" s="48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50"/>
      <c r="B145" s="48"/>
      <c r="C145" s="48"/>
      <c r="D145" s="48"/>
      <c r="E145" s="48"/>
      <c r="F145" s="48"/>
      <c r="G145" s="46"/>
      <c r="H145" s="50"/>
      <c r="I145" s="48"/>
      <c r="J145" s="48"/>
      <c r="K145" s="48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50"/>
      <c r="B146" s="48"/>
      <c r="C146" s="48"/>
      <c r="D146" s="48"/>
      <c r="E146" s="48"/>
      <c r="F146" s="48"/>
      <c r="G146" s="46"/>
      <c r="H146" s="50"/>
      <c r="I146" s="48"/>
      <c r="J146" s="48"/>
      <c r="K146" s="48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50"/>
      <c r="B147" s="48"/>
      <c r="C147" s="48"/>
      <c r="D147" s="48"/>
      <c r="E147" s="48"/>
      <c r="F147" s="48"/>
      <c r="G147" s="46"/>
      <c r="H147" s="50"/>
      <c r="I147" s="48"/>
      <c r="J147" s="48"/>
      <c r="K147" s="48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50"/>
      <c r="B148" s="48"/>
      <c r="C148" s="48"/>
      <c r="D148" s="48"/>
      <c r="E148" s="48"/>
      <c r="F148" s="48"/>
      <c r="G148" s="46"/>
      <c r="H148" s="50"/>
      <c r="I148" s="48"/>
      <c r="J148" s="48"/>
      <c r="K148" s="48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50"/>
      <c r="B149" s="48"/>
      <c r="C149" s="48"/>
      <c r="D149" s="48"/>
      <c r="E149" s="48"/>
      <c r="F149" s="48"/>
      <c r="G149" s="46"/>
      <c r="H149" s="50"/>
      <c r="I149" s="48"/>
      <c r="J149" s="48"/>
      <c r="K149" s="48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50"/>
      <c r="B150" s="48"/>
      <c r="C150" s="48"/>
      <c r="D150" s="48"/>
      <c r="E150" s="48"/>
      <c r="F150" s="48"/>
      <c r="G150" s="46"/>
      <c r="H150" s="50"/>
      <c r="I150" s="48"/>
      <c r="J150" s="48"/>
      <c r="K150" s="48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50"/>
      <c r="B151" s="48"/>
      <c r="C151" s="48"/>
      <c r="D151" s="48"/>
      <c r="E151" s="48"/>
      <c r="F151" s="48"/>
      <c r="G151" s="46"/>
      <c r="H151" s="50"/>
      <c r="I151" s="48"/>
      <c r="J151" s="48"/>
      <c r="K151" s="48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50"/>
      <c r="B152" s="48"/>
      <c r="C152" s="48"/>
      <c r="D152" s="48"/>
      <c r="E152" s="48"/>
      <c r="F152" s="48"/>
      <c r="G152" s="46"/>
      <c r="H152" s="50"/>
      <c r="I152" s="48"/>
      <c r="J152" s="48"/>
      <c r="K152" s="48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50"/>
      <c r="B153" s="48"/>
      <c r="C153" s="48"/>
      <c r="D153" s="48"/>
      <c r="E153" s="48"/>
      <c r="F153" s="48"/>
      <c r="G153" s="46"/>
      <c r="H153" s="50"/>
      <c r="I153" s="48"/>
      <c r="J153" s="48"/>
      <c r="K153" s="48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50"/>
      <c r="B154" s="48"/>
      <c r="C154" s="48"/>
      <c r="D154" s="48"/>
      <c r="E154" s="48"/>
      <c r="F154" s="48"/>
      <c r="G154" s="46"/>
      <c r="H154" s="50"/>
      <c r="I154" s="48"/>
      <c r="J154" s="48"/>
      <c r="K154" s="48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50"/>
      <c r="B155" s="48"/>
      <c r="C155" s="48"/>
      <c r="D155" s="48"/>
      <c r="E155" s="48"/>
      <c r="F155" s="48"/>
      <c r="G155" s="46"/>
      <c r="H155" s="50"/>
      <c r="I155" s="48"/>
      <c r="J155" s="48"/>
      <c r="K155" s="48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50"/>
      <c r="B156" s="48"/>
      <c r="C156" s="48"/>
      <c r="D156" s="48"/>
      <c r="E156" s="48"/>
      <c r="F156" s="48"/>
      <c r="G156" s="46"/>
      <c r="H156" s="50"/>
      <c r="I156" s="48"/>
      <c r="J156" s="48"/>
      <c r="K156" s="48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50"/>
      <c r="B157" s="48"/>
      <c r="C157" s="48"/>
      <c r="D157" s="48"/>
      <c r="E157" s="48"/>
      <c r="F157" s="48"/>
      <c r="G157" s="46"/>
      <c r="H157" s="50"/>
      <c r="I157" s="48"/>
      <c r="J157" s="48"/>
      <c r="K157" s="48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50"/>
      <c r="B158" s="48"/>
      <c r="C158" s="48"/>
      <c r="D158" s="48"/>
      <c r="E158" s="48"/>
      <c r="F158" s="48"/>
      <c r="G158" s="46"/>
      <c r="H158" s="50"/>
      <c r="I158" s="48"/>
      <c r="J158" s="48"/>
      <c r="K158" s="48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50"/>
      <c r="B159" s="48"/>
      <c r="C159" s="48"/>
      <c r="D159" s="48"/>
      <c r="E159" s="48"/>
      <c r="F159" s="48"/>
      <c r="G159" s="46"/>
      <c r="H159" s="50"/>
      <c r="I159" s="48"/>
      <c r="J159" s="48"/>
      <c r="K159" s="48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50"/>
      <c r="B160" s="48"/>
      <c r="C160" s="48"/>
      <c r="D160" s="48"/>
      <c r="E160" s="48"/>
      <c r="F160" s="48"/>
      <c r="G160" s="46"/>
      <c r="H160" s="50"/>
      <c r="I160" s="48"/>
      <c r="J160" s="48"/>
      <c r="K160" s="48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50"/>
      <c r="B161" s="48"/>
      <c r="C161" s="48"/>
      <c r="D161" s="48"/>
      <c r="E161" s="48"/>
      <c r="F161" s="48"/>
      <c r="G161" s="46"/>
      <c r="H161" s="50"/>
      <c r="I161" s="48"/>
      <c r="J161" s="48"/>
      <c r="K161" s="48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50"/>
      <c r="B162" s="48"/>
      <c r="C162" s="48"/>
      <c r="D162" s="48"/>
      <c r="E162" s="48"/>
      <c r="F162" s="48"/>
      <c r="G162" s="46"/>
      <c r="H162" s="50"/>
      <c r="I162" s="48"/>
      <c r="J162" s="48"/>
      <c r="K162" s="48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50"/>
      <c r="B163" s="48"/>
      <c r="C163" s="48"/>
      <c r="D163" s="48"/>
      <c r="E163" s="48"/>
      <c r="F163" s="48"/>
      <c r="G163" s="46"/>
      <c r="H163" s="50"/>
      <c r="I163" s="48"/>
      <c r="J163" s="48"/>
      <c r="K163" s="48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50"/>
      <c r="B164" s="48"/>
      <c r="C164" s="48"/>
      <c r="D164" s="48"/>
      <c r="E164" s="48"/>
      <c r="F164" s="48"/>
      <c r="G164" s="46"/>
      <c r="H164" s="50"/>
      <c r="I164" s="48"/>
      <c r="J164" s="48"/>
      <c r="K164" s="48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50"/>
      <c r="B165" s="48"/>
      <c r="C165" s="48"/>
      <c r="D165" s="48"/>
      <c r="E165" s="48"/>
      <c r="F165" s="48"/>
      <c r="G165" s="46"/>
      <c r="H165" s="50"/>
      <c r="I165" s="48"/>
      <c r="J165" s="48"/>
      <c r="K165" s="48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50"/>
      <c r="B166" s="48"/>
      <c r="C166" s="48"/>
      <c r="D166" s="48"/>
      <c r="E166" s="48"/>
      <c r="F166" s="48"/>
      <c r="G166" s="46"/>
      <c r="H166" s="50"/>
      <c r="I166" s="48"/>
      <c r="J166" s="48"/>
      <c r="K166" s="48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50"/>
      <c r="B167" s="48"/>
      <c r="C167" s="48"/>
      <c r="D167" s="48"/>
      <c r="E167" s="48"/>
      <c r="F167" s="48"/>
      <c r="G167" s="46"/>
      <c r="H167" s="50"/>
      <c r="I167" s="48"/>
      <c r="J167" s="48"/>
      <c r="K167" s="48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50"/>
      <c r="B168" s="48"/>
      <c r="C168" s="48"/>
      <c r="D168" s="48"/>
      <c r="E168" s="48"/>
      <c r="F168" s="48"/>
      <c r="G168" s="46"/>
      <c r="H168" s="50"/>
      <c r="I168" s="48"/>
      <c r="J168" s="48"/>
      <c r="K168" s="48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50"/>
      <c r="B169" s="48"/>
      <c r="C169" s="48"/>
      <c r="D169" s="48"/>
      <c r="E169" s="48"/>
      <c r="F169" s="48"/>
      <c r="G169" s="46"/>
      <c r="H169" s="50"/>
      <c r="I169" s="48"/>
      <c r="J169" s="48"/>
      <c r="K169" s="48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50"/>
      <c r="B170" s="48"/>
      <c r="C170" s="48"/>
      <c r="D170" s="48"/>
      <c r="E170" s="48"/>
      <c r="F170" s="48"/>
      <c r="G170" s="46"/>
      <c r="H170" s="50"/>
      <c r="I170" s="48"/>
      <c r="J170" s="48"/>
      <c r="K170" s="48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50"/>
      <c r="B171" s="48"/>
      <c r="C171" s="48"/>
      <c r="D171" s="48"/>
      <c r="E171" s="48"/>
      <c r="F171" s="48"/>
      <c r="G171" s="46"/>
      <c r="H171" s="50"/>
      <c r="I171" s="48"/>
      <c r="J171" s="48"/>
      <c r="K171" s="48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50"/>
      <c r="B172" s="48"/>
      <c r="C172" s="48"/>
      <c r="D172" s="48"/>
      <c r="E172" s="48"/>
      <c r="F172" s="48"/>
      <c r="G172" s="46"/>
      <c r="H172" s="50"/>
      <c r="I172" s="48"/>
      <c r="J172" s="48"/>
      <c r="K172" s="48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50"/>
      <c r="B173" s="48"/>
      <c r="C173" s="48"/>
      <c r="D173" s="48"/>
      <c r="E173" s="48"/>
      <c r="F173" s="48"/>
      <c r="G173" s="46"/>
      <c r="H173" s="50"/>
      <c r="I173" s="48"/>
      <c r="J173" s="48"/>
      <c r="K173" s="48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50"/>
      <c r="B174" s="48"/>
      <c r="C174" s="48"/>
      <c r="D174" s="48"/>
      <c r="E174" s="48"/>
      <c r="F174" s="48"/>
      <c r="G174" s="46"/>
      <c r="H174" s="50"/>
      <c r="I174" s="48"/>
      <c r="J174" s="48"/>
      <c r="K174" s="48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50"/>
      <c r="B175" s="48"/>
      <c r="C175" s="48"/>
      <c r="D175" s="48"/>
      <c r="E175" s="48"/>
      <c r="F175" s="48"/>
      <c r="G175" s="46"/>
      <c r="H175" s="50"/>
      <c r="I175" s="48"/>
      <c r="J175" s="48"/>
      <c r="K175" s="48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50"/>
      <c r="B176" s="48"/>
      <c r="C176" s="48"/>
      <c r="D176" s="48"/>
      <c r="E176" s="48"/>
      <c r="F176" s="48"/>
      <c r="G176" s="46"/>
      <c r="H176" s="50"/>
      <c r="I176" s="48"/>
      <c r="J176" s="48"/>
      <c r="K176" s="48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50"/>
      <c r="B177" s="48"/>
      <c r="C177" s="48"/>
      <c r="D177" s="48"/>
      <c r="E177" s="48"/>
      <c r="F177" s="48"/>
      <c r="G177" s="46"/>
      <c r="H177" s="50"/>
      <c r="I177" s="48"/>
      <c r="J177" s="48"/>
      <c r="K177" s="48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50"/>
      <c r="B178" s="48"/>
      <c r="C178" s="48"/>
      <c r="D178" s="48"/>
      <c r="E178" s="48"/>
      <c r="F178" s="48"/>
      <c r="G178" s="46"/>
      <c r="H178" s="50"/>
      <c r="I178" s="48"/>
      <c r="J178" s="48"/>
      <c r="K178" s="48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50"/>
      <c r="B179" s="48"/>
      <c r="C179" s="48"/>
      <c r="D179" s="48"/>
      <c r="E179" s="48"/>
      <c r="F179" s="48"/>
      <c r="G179" s="46"/>
      <c r="H179" s="50"/>
      <c r="I179" s="48"/>
      <c r="J179" s="48"/>
      <c r="K179" s="48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50"/>
      <c r="B180" s="48"/>
      <c r="C180" s="48"/>
      <c r="D180" s="48"/>
      <c r="E180" s="48"/>
      <c r="F180" s="48"/>
      <c r="G180" s="46"/>
      <c r="H180" s="50"/>
      <c r="I180" s="48"/>
      <c r="J180" s="48"/>
      <c r="K180" s="48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50"/>
      <c r="B181" s="48"/>
      <c r="C181" s="48"/>
      <c r="D181" s="48"/>
      <c r="E181" s="48"/>
      <c r="F181" s="48"/>
      <c r="G181" s="46"/>
      <c r="H181" s="50"/>
      <c r="I181" s="48"/>
      <c r="J181" s="48"/>
      <c r="K181" s="48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50"/>
      <c r="B182" s="48"/>
      <c r="C182" s="48"/>
      <c r="D182" s="48"/>
      <c r="E182" s="48"/>
      <c r="F182" s="48"/>
      <c r="G182" s="46"/>
      <c r="H182" s="50"/>
      <c r="I182" s="48"/>
      <c r="J182" s="48"/>
      <c r="K182" s="48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50"/>
      <c r="B183" s="48"/>
      <c r="C183" s="48"/>
      <c r="D183" s="48"/>
      <c r="E183" s="48"/>
      <c r="F183" s="48"/>
      <c r="G183" s="46"/>
      <c r="H183" s="50"/>
      <c r="I183" s="48"/>
      <c r="J183" s="48"/>
      <c r="K183" s="48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50"/>
      <c r="B184" s="48"/>
      <c r="C184" s="48"/>
      <c r="D184" s="48"/>
      <c r="E184" s="48"/>
      <c r="F184" s="48"/>
      <c r="G184" s="46"/>
      <c r="H184" s="50"/>
      <c r="I184" s="48"/>
      <c r="J184" s="48"/>
      <c r="K184" s="48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50"/>
      <c r="B185" s="48"/>
      <c r="C185" s="48"/>
      <c r="D185" s="48"/>
      <c r="E185" s="48"/>
      <c r="F185" s="48"/>
      <c r="G185" s="46"/>
      <c r="H185" s="50"/>
      <c r="I185" s="48"/>
      <c r="J185" s="48"/>
      <c r="K185" s="48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50"/>
      <c r="B186" s="48"/>
      <c r="C186" s="48"/>
      <c r="D186" s="48"/>
      <c r="E186" s="48"/>
      <c r="F186" s="48"/>
      <c r="G186" s="46"/>
      <c r="H186" s="50"/>
      <c r="I186" s="48"/>
      <c r="J186" s="48"/>
      <c r="K186" s="48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50"/>
      <c r="B187" s="48"/>
      <c r="C187" s="48"/>
      <c r="D187" s="48"/>
      <c r="E187" s="48"/>
      <c r="F187" s="48"/>
      <c r="G187" s="46"/>
      <c r="H187" s="50"/>
      <c r="I187" s="48"/>
      <c r="J187" s="48"/>
      <c r="K187" s="48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50"/>
      <c r="B188" s="48"/>
      <c r="C188" s="48"/>
      <c r="D188" s="48"/>
      <c r="E188" s="48"/>
      <c r="F188" s="48"/>
      <c r="G188" s="46"/>
      <c r="H188" s="50"/>
      <c r="I188" s="48"/>
      <c r="J188" s="48"/>
      <c r="K188" s="48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50"/>
      <c r="B189" s="48"/>
      <c r="C189" s="48"/>
      <c r="D189" s="48"/>
      <c r="E189" s="48"/>
      <c r="F189" s="48"/>
      <c r="G189" s="46"/>
      <c r="H189" s="50"/>
      <c r="I189" s="48"/>
      <c r="J189" s="48"/>
      <c r="K189" s="48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50"/>
      <c r="B190" s="48"/>
      <c r="C190" s="48"/>
      <c r="D190" s="48"/>
      <c r="E190" s="48"/>
      <c r="F190" s="48"/>
      <c r="G190" s="46"/>
      <c r="H190" s="50"/>
      <c r="I190" s="48"/>
      <c r="J190" s="48"/>
      <c r="K190" s="48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50"/>
      <c r="B191" s="48"/>
      <c r="C191" s="48"/>
      <c r="D191" s="48"/>
      <c r="E191" s="48"/>
      <c r="F191" s="48"/>
      <c r="G191" s="46"/>
      <c r="H191" s="50"/>
      <c r="I191" s="48"/>
      <c r="J191" s="48"/>
      <c r="K191" s="48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50"/>
      <c r="B192" s="48"/>
      <c r="C192" s="48"/>
      <c r="D192" s="48"/>
      <c r="E192" s="48"/>
      <c r="F192" s="48"/>
      <c r="G192" s="46"/>
      <c r="H192" s="50"/>
      <c r="I192" s="48"/>
      <c r="J192" s="48"/>
      <c r="K192" s="48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50"/>
      <c r="B193" s="48"/>
      <c r="C193" s="48"/>
      <c r="D193" s="48"/>
      <c r="E193" s="48"/>
      <c r="F193" s="48"/>
      <c r="G193" s="46"/>
      <c r="H193" s="50"/>
      <c r="I193" s="48"/>
      <c r="J193" s="48"/>
      <c r="K193" s="48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50"/>
      <c r="B194" s="48"/>
      <c r="C194" s="48"/>
      <c r="D194" s="48"/>
      <c r="E194" s="48"/>
      <c r="F194" s="48"/>
      <c r="G194" s="46"/>
      <c r="H194" s="50"/>
      <c r="I194" s="48"/>
      <c r="J194" s="48"/>
      <c r="K194" s="48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50"/>
      <c r="B195" s="48"/>
      <c r="C195" s="48"/>
      <c r="D195" s="48"/>
      <c r="E195" s="48"/>
      <c r="F195" s="48"/>
      <c r="G195" s="46"/>
      <c r="H195" s="50"/>
      <c r="I195" s="48"/>
      <c r="J195" s="48"/>
      <c r="K195" s="48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50"/>
      <c r="B196" s="48"/>
      <c r="C196" s="48"/>
      <c r="D196" s="48"/>
      <c r="E196" s="48"/>
      <c r="F196" s="48"/>
      <c r="G196" s="46"/>
      <c r="H196" s="50"/>
      <c r="I196" s="48"/>
      <c r="J196" s="48"/>
      <c r="K196" s="48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50"/>
      <c r="B197" s="48"/>
      <c r="C197" s="48"/>
      <c r="D197" s="48"/>
      <c r="E197" s="48"/>
      <c r="F197" s="48"/>
      <c r="G197" s="46"/>
      <c r="H197" s="50"/>
      <c r="I197" s="48"/>
      <c r="J197" s="48"/>
      <c r="K197" s="48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50"/>
      <c r="B198" s="48"/>
      <c r="C198" s="48"/>
      <c r="D198" s="48"/>
      <c r="E198" s="48"/>
      <c r="F198" s="48"/>
      <c r="G198" s="46"/>
      <c r="H198" s="50"/>
      <c r="I198" s="48"/>
      <c r="J198" s="48"/>
      <c r="K198" s="48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50"/>
      <c r="B199" s="48"/>
      <c r="C199" s="48"/>
      <c r="D199" s="48"/>
      <c r="E199" s="48"/>
      <c r="F199" s="48"/>
      <c r="G199" s="46"/>
      <c r="H199" s="50"/>
      <c r="I199" s="48"/>
      <c r="J199" s="48"/>
      <c r="K199" s="48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50"/>
      <c r="B200" s="48"/>
      <c r="C200" s="48"/>
      <c r="D200" s="48"/>
      <c r="E200" s="48"/>
      <c r="F200" s="48"/>
      <c r="G200" s="46"/>
      <c r="H200" s="50"/>
      <c r="I200" s="48"/>
      <c r="J200" s="48"/>
      <c r="K200" s="48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50"/>
      <c r="B201" s="48"/>
      <c r="C201" s="48"/>
      <c r="D201" s="48"/>
      <c r="E201" s="48"/>
      <c r="F201" s="48"/>
      <c r="G201" s="46"/>
      <c r="H201" s="50"/>
      <c r="I201" s="48"/>
      <c r="J201" s="48"/>
      <c r="K201" s="48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50"/>
      <c r="B202" s="48"/>
      <c r="C202" s="48"/>
      <c r="D202" s="48"/>
      <c r="E202" s="48"/>
      <c r="F202" s="48"/>
      <c r="G202" s="46"/>
      <c r="H202" s="50"/>
      <c r="I202" s="48"/>
      <c r="J202" s="48"/>
      <c r="K202" s="48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50"/>
      <c r="B203" s="48"/>
      <c r="C203" s="48"/>
      <c r="D203" s="48"/>
      <c r="E203" s="48"/>
      <c r="F203" s="48"/>
      <c r="G203" s="46"/>
      <c r="H203" s="50"/>
      <c r="I203" s="48"/>
      <c r="J203" s="48"/>
      <c r="K203" s="48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50"/>
      <c r="B204" s="48"/>
      <c r="C204" s="48"/>
      <c r="D204" s="48"/>
      <c r="E204" s="48"/>
      <c r="F204" s="48"/>
      <c r="G204" s="46"/>
      <c r="H204" s="50"/>
      <c r="I204" s="48"/>
      <c r="J204" s="48"/>
      <c r="K204" s="48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50"/>
      <c r="B205" s="48"/>
      <c r="C205" s="48"/>
      <c r="D205" s="48"/>
      <c r="E205" s="48"/>
      <c r="F205" s="48"/>
      <c r="G205" s="46"/>
      <c r="H205" s="50"/>
      <c r="I205" s="48"/>
      <c r="J205" s="48"/>
      <c r="K205" s="48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50"/>
      <c r="B206" s="48"/>
      <c r="C206" s="48"/>
      <c r="D206" s="48"/>
      <c r="E206" s="48"/>
      <c r="F206" s="48"/>
      <c r="G206" s="46"/>
      <c r="H206" s="50"/>
      <c r="I206" s="48"/>
      <c r="J206" s="48"/>
      <c r="K206" s="48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50"/>
      <c r="B207" s="48"/>
      <c r="C207" s="48"/>
      <c r="D207" s="48"/>
      <c r="E207" s="48"/>
      <c r="F207" s="48"/>
      <c r="G207" s="46"/>
      <c r="H207" s="50"/>
      <c r="I207" s="48"/>
      <c r="J207" s="48"/>
      <c r="K207" s="48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50"/>
      <c r="B208" s="48"/>
      <c r="C208" s="48"/>
      <c r="D208" s="48"/>
      <c r="E208" s="48"/>
      <c r="F208" s="48"/>
      <c r="G208" s="46"/>
      <c r="H208" s="50"/>
      <c r="I208" s="48"/>
      <c r="J208" s="48"/>
      <c r="K208" s="48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50"/>
      <c r="B209" s="48"/>
      <c r="C209" s="48"/>
      <c r="D209" s="48"/>
      <c r="E209" s="48"/>
      <c r="F209" s="48"/>
      <c r="G209" s="46"/>
      <c r="H209" s="50"/>
      <c r="I209" s="48"/>
      <c r="J209" s="48"/>
      <c r="K209" s="48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50"/>
      <c r="B210" s="48"/>
      <c r="C210" s="48"/>
      <c r="D210" s="48"/>
      <c r="E210" s="48"/>
      <c r="F210" s="48"/>
      <c r="G210" s="46"/>
      <c r="H210" s="50"/>
      <c r="I210" s="48"/>
      <c r="J210" s="48"/>
      <c r="K210" s="48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50"/>
      <c r="B211" s="48"/>
      <c r="C211" s="48"/>
      <c r="D211" s="48"/>
      <c r="E211" s="48"/>
      <c r="F211" s="48"/>
      <c r="G211" s="46"/>
      <c r="H211" s="50"/>
      <c r="I211" s="48"/>
      <c r="J211" s="48"/>
      <c r="K211" s="48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50"/>
      <c r="B212" s="48"/>
      <c r="C212" s="48"/>
      <c r="D212" s="48"/>
      <c r="E212" s="48"/>
      <c r="F212" s="48"/>
      <c r="G212" s="46"/>
      <c r="H212" s="50"/>
      <c r="I212" s="48"/>
      <c r="J212" s="48"/>
      <c r="K212" s="48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50"/>
      <c r="B213" s="48"/>
      <c r="C213" s="48"/>
      <c r="D213" s="48"/>
      <c r="E213" s="48"/>
      <c r="F213" s="48"/>
      <c r="G213" s="46"/>
      <c r="H213" s="50"/>
      <c r="I213" s="48"/>
      <c r="J213" s="48"/>
      <c r="K213" s="48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50"/>
      <c r="B214" s="48"/>
      <c r="C214" s="48"/>
      <c r="D214" s="48"/>
      <c r="E214" s="48"/>
      <c r="F214" s="48"/>
      <c r="G214" s="46"/>
      <c r="H214" s="50"/>
      <c r="I214" s="48"/>
      <c r="J214" s="48"/>
      <c r="K214" s="48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50"/>
      <c r="B215" s="48"/>
      <c r="C215" s="48"/>
      <c r="D215" s="48"/>
      <c r="E215" s="48"/>
      <c r="F215" s="48"/>
      <c r="G215" s="46"/>
      <c r="H215" s="50"/>
      <c r="I215" s="48"/>
      <c r="J215" s="48"/>
      <c r="K215" s="48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50"/>
      <c r="B216" s="48"/>
      <c r="C216" s="48"/>
      <c r="D216" s="48"/>
      <c r="E216" s="48"/>
      <c r="F216" s="48"/>
      <c r="G216" s="46"/>
      <c r="H216" s="50"/>
      <c r="I216" s="48"/>
      <c r="J216" s="48"/>
      <c r="K216" s="48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50"/>
      <c r="B217" s="48"/>
      <c r="C217" s="48"/>
      <c r="D217" s="48"/>
      <c r="E217" s="48"/>
      <c r="F217" s="48"/>
      <c r="G217" s="46"/>
      <c r="H217" s="50"/>
      <c r="I217" s="48"/>
      <c r="J217" s="48"/>
      <c r="K217" s="48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50"/>
      <c r="B218" s="48"/>
      <c r="C218" s="48"/>
      <c r="D218" s="48"/>
      <c r="E218" s="48"/>
      <c r="F218" s="48"/>
      <c r="G218" s="46"/>
      <c r="H218" s="50"/>
      <c r="I218" s="48"/>
      <c r="J218" s="48"/>
      <c r="K218" s="48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50"/>
      <c r="B219" s="48"/>
      <c r="C219" s="48"/>
      <c r="D219" s="48"/>
      <c r="E219" s="48"/>
      <c r="F219" s="48"/>
      <c r="G219" s="46"/>
      <c r="H219" s="50"/>
      <c r="I219" s="48"/>
      <c r="J219" s="48"/>
      <c r="K219" s="48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50"/>
      <c r="B220" s="48"/>
      <c r="C220" s="48"/>
      <c r="D220" s="48"/>
      <c r="E220" s="48"/>
      <c r="F220" s="48"/>
      <c r="G220" s="46"/>
      <c r="H220" s="50"/>
      <c r="I220" s="48"/>
      <c r="J220" s="48"/>
      <c r="K220" s="48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50"/>
      <c r="B221" s="48"/>
      <c r="C221" s="48"/>
      <c r="D221" s="48"/>
      <c r="E221" s="48"/>
      <c r="F221" s="48"/>
      <c r="G221" s="46"/>
      <c r="H221" s="50"/>
      <c r="I221" s="48"/>
      <c r="J221" s="48"/>
      <c r="K221" s="48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50"/>
      <c r="B222" s="48"/>
      <c r="C222" s="48"/>
      <c r="D222" s="48"/>
      <c r="E222" s="48"/>
      <c r="F222" s="48"/>
      <c r="G222" s="51"/>
      <c r="H222" s="50"/>
      <c r="I222" s="48"/>
      <c r="J222" s="48"/>
      <c r="K222" s="48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50"/>
      <c r="B223" s="48"/>
      <c r="C223" s="48"/>
      <c r="D223" s="48"/>
      <c r="E223" s="48"/>
      <c r="F223" s="48"/>
      <c r="G223" s="51"/>
      <c r="H223" s="50"/>
      <c r="I223" s="48"/>
      <c r="J223" s="48"/>
      <c r="K223" s="48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50"/>
      <c r="B224" s="48"/>
      <c r="C224" s="48"/>
      <c r="D224" s="48"/>
      <c r="E224" s="48"/>
      <c r="F224" s="48"/>
      <c r="G224" s="51"/>
      <c r="H224" s="50"/>
      <c r="I224" s="48"/>
      <c r="J224" s="48"/>
      <c r="K224" s="48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50"/>
      <c r="B225" s="48"/>
      <c r="C225" s="48"/>
      <c r="D225" s="48"/>
      <c r="E225" s="48"/>
      <c r="F225" s="48"/>
      <c r="G225" s="51"/>
      <c r="H225" s="50"/>
      <c r="I225" s="48"/>
      <c r="J225" s="48"/>
      <c r="K225" s="48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50"/>
      <c r="B226" s="48"/>
      <c r="C226" s="48"/>
      <c r="D226" s="48"/>
      <c r="E226" s="48"/>
      <c r="F226" s="48"/>
      <c r="G226" s="51"/>
      <c r="H226" s="50"/>
      <c r="I226" s="48"/>
      <c r="J226" s="48"/>
      <c r="K226" s="48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50"/>
      <c r="B227" s="48"/>
      <c r="C227" s="48"/>
      <c r="D227" s="48"/>
      <c r="E227" s="48"/>
      <c r="F227" s="48"/>
      <c r="G227" s="51"/>
      <c r="H227" s="50"/>
      <c r="I227" s="48"/>
      <c r="J227" s="48"/>
      <c r="K227" s="48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50"/>
      <c r="B228" s="48"/>
      <c r="C228" s="48"/>
      <c r="D228" s="48"/>
      <c r="E228" s="48"/>
      <c r="F228" s="48"/>
      <c r="G228" s="51"/>
      <c r="H228" s="50"/>
      <c r="I228" s="48"/>
      <c r="J228" s="48"/>
      <c r="K228" s="48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50"/>
      <c r="B229" s="48"/>
      <c r="C229" s="48"/>
      <c r="D229" s="48"/>
      <c r="E229" s="48"/>
      <c r="F229" s="48"/>
      <c r="G229" s="51"/>
      <c r="H229" s="50"/>
      <c r="I229" s="48"/>
      <c r="J229" s="48"/>
      <c r="K229" s="48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50"/>
      <c r="B230" s="48"/>
      <c r="C230" s="48"/>
      <c r="D230" s="48"/>
      <c r="E230" s="48"/>
      <c r="F230" s="48"/>
      <c r="G230" s="51"/>
      <c r="H230" s="50"/>
      <c r="I230" s="48"/>
      <c r="J230" s="48"/>
      <c r="K230" s="48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50"/>
      <c r="B231" s="48"/>
      <c r="C231" s="48"/>
      <c r="D231" s="48"/>
      <c r="E231" s="48"/>
      <c r="F231" s="48"/>
      <c r="G231" s="51"/>
      <c r="H231" s="50"/>
      <c r="I231" s="48"/>
      <c r="J231" s="48"/>
      <c r="K231" s="48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50"/>
      <c r="B232" s="48"/>
      <c r="C232" s="48"/>
      <c r="D232" s="48"/>
      <c r="E232" s="48"/>
      <c r="F232" s="48"/>
      <c r="G232" s="51"/>
      <c r="H232" s="50"/>
      <c r="I232" s="48"/>
      <c r="J232" s="48"/>
      <c r="K232" s="48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50"/>
      <c r="B233" s="48"/>
      <c r="C233" s="48"/>
      <c r="D233" s="48"/>
      <c r="E233" s="48"/>
      <c r="F233" s="48"/>
      <c r="G233" s="51"/>
      <c r="H233" s="50"/>
      <c r="I233" s="48"/>
      <c r="J233" s="48"/>
      <c r="K233" s="48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50"/>
      <c r="B234" s="48"/>
      <c r="C234" s="48"/>
      <c r="D234" s="48"/>
      <c r="E234" s="48"/>
      <c r="F234" s="48"/>
      <c r="G234" s="51"/>
      <c r="H234" s="50"/>
      <c r="I234" s="48"/>
      <c r="J234" s="48"/>
      <c r="K234" s="48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50"/>
      <c r="B235" s="48"/>
      <c r="C235" s="48"/>
      <c r="D235" s="48"/>
      <c r="E235" s="48"/>
      <c r="F235" s="48"/>
      <c r="G235" s="51"/>
      <c r="H235" s="50"/>
      <c r="I235" s="48"/>
      <c r="J235" s="48"/>
      <c r="K235" s="48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52"/>
      <c r="B236" s="8"/>
      <c r="C236" s="8"/>
      <c r="D236" s="8"/>
      <c r="E236" s="8"/>
      <c r="F236" s="8"/>
      <c r="G236" s="53"/>
      <c r="H236" s="52"/>
      <c r="I236" s="8"/>
      <c r="J236" s="8"/>
      <c r="K236" s="8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52"/>
      <c r="B237" s="8"/>
      <c r="C237" s="8"/>
      <c r="D237" s="8"/>
      <c r="E237" s="8"/>
      <c r="F237" s="8"/>
      <c r="G237" s="53"/>
      <c r="H237" s="52"/>
      <c r="I237" s="8"/>
      <c r="J237" s="8"/>
      <c r="K237" s="8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52"/>
      <c r="B238" s="8"/>
      <c r="C238" s="8"/>
      <c r="D238" s="8"/>
      <c r="E238" s="8"/>
      <c r="F238" s="8"/>
      <c r="G238" s="53"/>
      <c r="H238" s="52"/>
      <c r="I238" s="8"/>
      <c r="J238" s="8"/>
      <c r="K238" s="8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52"/>
      <c r="B239" s="8"/>
      <c r="C239" s="8"/>
      <c r="D239" s="8"/>
      <c r="E239" s="8"/>
      <c r="F239" s="8"/>
      <c r="G239" s="53"/>
      <c r="H239" s="52"/>
      <c r="I239" s="8"/>
      <c r="J239" s="8"/>
      <c r="K239" s="8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52"/>
      <c r="B240" s="8"/>
      <c r="C240" s="8"/>
      <c r="D240" s="8"/>
      <c r="E240" s="8"/>
      <c r="F240" s="8"/>
      <c r="G240" s="53"/>
      <c r="H240" s="52"/>
      <c r="I240" s="8"/>
      <c r="J240" s="8"/>
      <c r="K240" s="8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</sheetData>
  <mergeCells count="10">
    <mergeCell ref="A25:D25"/>
    <mergeCell ref="A27:B27"/>
    <mergeCell ref="F1:H1"/>
    <mergeCell ref="F2:H2"/>
    <mergeCell ref="B23:C23"/>
    <mergeCell ref="G23:I23"/>
    <mergeCell ref="E25:F25"/>
    <mergeCell ref="G25:G34"/>
    <mergeCell ref="H25:J25"/>
    <mergeCell ref="G35:G43"/>
  </mergeCells>
  <conditionalFormatting sqref="A46:F240 H46:K240">
    <cfRule type="expression" dxfId="1" priority="1">
      <formula>ISEVEN(QUOTIENT(ROW()-1, 5))</formula>
    </cfRule>
  </conditionalFormatting>
  <conditionalFormatting sqref="G23:I23">
    <cfRule type="cellIs" dxfId="2" priority="2" operator="greaterThan">
      <formula>0</formula>
    </cfRule>
  </conditionalFormatting>
  <conditionalFormatting sqref="G23:I23">
    <cfRule type="cellIs" dxfId="3" priority="3" operator="lessThan">
      <formula>0</formula>
    </cfRule>
  </conditionalFormatting>
  <dataValidations>
    <dataValidation type="list" allowBlank="1" showErrorMessage="1" sqref="C2">
      <formula1>'Background-Data'!$C$2:$C240</formula1>
    </dataValidation>
    <dataValidation type="list" allowBlank="1" showErrorMessage="1" sqref="A2">
      <formula1>'Background-Data'!$A$2:$A240</formula1>
    </dataValidation>
    <dataValidation type="list" allowBlank="1" showErrorMessage="1" sqref="B2">
      <formula1>'Background-Data'!$B$2:$B240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20.63"/>
    <col customWidth="1" min="4" max="4" width="45.5"/>
    <col customWidth="1" min="6" max="6" width="17.75"/>
    <col customWidth="1" min="7" max="7" width="16.63"/>
    <col customWidth="1" min="8" max="8" width="16.38"/>
    <col customWidth="1" min="9" max="9" width="16.75"/>
    <col customWidth="1" min="10" max="10" width="16.38"/>
    <col customWidth="1" min="11" max="11" width="55.63"/>
  </cols>
  <sheetData>
    <row r="1">
      <c r="A1" s="54" t="s">
        <v>618</v>
      </c>
      <c r="B1" s="54" t="s">
        <v>619</v>
      </c>
      <c r="C1" s="54" t="s">
        <v>620</v>
      </c>
      <c r="D1" s="54" t="s">
        <v>621</v>
      </c>
      <c r="E1" s="54" t="s">
        <v>3</v>
      </c>
      <c r="F1" s="54" t="s">
        <v>622</v>
      </c>
      <c r="G1" s="54" t="s">
        <v>623</v>
      </c>
      <c r="H1" s="54" t="s">
        <v>23</v>
      </c>
      <c r="I1" s="54" t="s">
        <v>624</v>
      </c>
      <c r="J1" s="54" t="s">
        <v>625</v>
      </c>
      <c r="K1" s="54" t="s">
        <v>7</v>
      </c>
    </row>
    <row r="2">
      <c r="A2" s="55">
        <f t="shared" ref="A2:A120" si="1">IF(B2&lt;&gt;"", IFERROR(A1+1, 1),"")</f>
        <v>1</v>
      </c>
      <c r="B2" s="56">
        <v>45780.0</v>
      </c>
      <c r="C2" s="57" t="s">
        <v>51</v>
      </c>
      <c r="D2" s="57" t="s">
        <v>626</v>
      </c>
      <c r="E2" s="58">
        <v>14560.0</v>
      </c>
      <c r="F2" s="57">
        <v>10.0</v>
      </c>
      <c r="G2" s="57">
        <v>10.0</v>
      </c>
      <c r="H2" s="59">
        <f t="shared" ref="H2:H6" si="2">E2/F2</f>
        <v>1456</v>
      </c>
      <c r="I2" s="60">
        <f t="shared" ref="I2:I6" si="3">E2-(G2*H2)</f>
        <v>0</v>
      </c>
      <c r="J2" s="61">
        <f t="shared" ref="J2:J6" si="4">EDATE(B2,F2-1)</f>
        <v>46056</v>
      </c>
      <c r="K2" s="57" t="s">
        <v>627</v>
      </c>
    </row>
    <row r="3">
      <c r="A3" s="55">
        <f t="shared" si="1"/>
        <v>2</v>
      </c>
      <c r="B3" s="56">
        <v>45870.0</v>
      </c>
      <c r="C3" s="57" t="s">
        <v>17</v>
      </c>
      <c r="D3" s="57" t="s">
        <v>628</v>
      </c>
      <c r="E3" s="58">
        <v>7500.0</v>
      </c>
      <c r="F3" s="57">
        <v>3.0</v>
      </c>
      <c r="G3" s="57">
        <v>3.0</v>
      </c>
      <c r="H3" s="59">
        <f t="shared" si="2"/>
        <v>2500</v>
      </c>
      <c r="I3" s="60">
        <f t="shared" si="3"/>
        <v>0</v>
      </c>
      <c r="J3" s="61">
        <f t="shared" si="4"/>
        <v>45931</v>
      </c>
      <c r="K3" s="57" t="s">
        <v>629</v>
      </c>
    </row>
    <row r="4">
      <c r="A4" s="55">
        <f t="shared" si="1"/>
        <v>3</v>
      </c>
      <c r="B4" s="56">
        <v>46062.0</v>
      </c>
      <c r="C4" s="57" t="s">
        <v>51</v>
      </c>
      <c r="D4" s="57" t="s">
        <v>630</v>
      </c>
      <c r="E4" s="58">
        <v>15560.0</v>
      </c>
      <c r="F4" s="57">
        <v>4.0</v>
      </c>
      <c r="G4" s="57">
        <v>4.0</v>
      </c>
      <c r="H4" s="59">
        <f t="shared" si="2"/>
        <v>3890</v>
      </c>
      <c r="I4" s="60">
        <f t="shared" si="3"/>
        <v>0</v>
      </c>
      <c r="J4" s="61">
        <f t="shared" si="4"/>
        <v>46151</v>
      </c>
      <c r="K4" s="57" t="s">
        <v>631</v>
      </c>
    </row>
    <row r="5">
      <c r="A5" s="55">
        <f t="shared" si="1"/>
        <v>4</v>
      </c>
      <c r="B5" s="56">
        <v>46056.0</v>
      </c>
      <c r="C5" s="57" t="s">
        <v>17</v>
      </c>
      <c r="D5" s="57" t="s">
        <v>632</v>
      </c>
      <c r="E5" s="58">
        <v>38800.0</v>
      </c>
      <c r="F5" s="57">
        <v>10.0</v>
      </c>
      <c r="G5" s="57">
        <v>4.0</v>
      </c>
      <c r="H5" s="59">
        <f t="shared" si="2"/>
        <v>3880</v>
      </c>
      <c r="I5" s="60">
        <f t="shared" si="3"/>
        <v>23280</v>
      </c>
      <c r="J5" s="61">
        <f t="shared" si="4"/>
        <v>46329</v>
      </c>
      <c r="K5" s="57" t="s">
        <v>633</v>
      </c>
    </row>
    <row r="6">
      <c r="A6" s="55">
        <f t="shared" si="1"/>
        <v>5</v>
      </c>
      <c r="B6" s="56">
        <v>46145.0</v>
      </c>
      <c r="C6" s="57" t="s">
        <v>55</v>
      </c>
      <c r="D6" s="57" t="s">
        <v>634</v>
      </c>
      <c r="E6" s="57">
        <v>24725.25</v>
      </c>
      <c r="F6" s="57">
        <v>10.0</v>
      </c>
      <c r="G6" s="57">
        <v>1.0</v>
      </c>
      <c r="H6" s="59">
        <f t="shared" si="2"/>
        <v>2472.525</v>
      </c>
      <c r="I6" s="59">
        <f t="shared" si="3"/>
        <v>22252.725</v>
      </c>
      <c r="J6" s="61">
        <f t="shared" si="4"/>
        <v>46421</v>
      </c>
      <c r="K6" s="57" t="s">
        <v>635</v>
      </c>
    </row>
    <row r="7">
      <c r="A7" s="55" t="str">
        <f t="shared" si="1"/>
        <v/>
      </c>
      <c r="B7" s="62"/>
      <c r="C7" s="27"/>
      <c r="D7" s="27"/>
      <c r="E7" s="27"/>
      <c r="F7" s="27"/>
      <c r="G7" s="27"/>
      <c r="H7" s="59"/>
      <c r="I7" s="59"/>
      <c r="J7" s="61"/>
      <c r="K7" s="27"/>
    </row>
    <row r="8">
      <c r="A8" s="55" t="str">
        <f t="shared" si="1"/>
        <v/>
      </c>
      <c r="B8" s="62"/>
      <c r="C8" s="27"/>
      <c r="D8" s="27"/>
      <c r="E8" s="27"/>
      <c r="F8" s="27"/>
      <c r="G8" s="27"/>
      <c r="H8" s="59"/>
      <c r="I8" s="59"/>
      <c r="J8" s="61"/>
      <c r="K8" s="27"/>
    </row>
    <row r="9">
      <c r="A9" s="55" t="str">
        <f t="shared" si="1"/>
        <v/>
      </c>
      <c r="B9" s="62"/>
      <c r="C9" s="27"/>
      <c r="D9" s="27"/>
      <c r="E9" s="27"/>
      <c r="F9" s="27"/>
      <c r="G9" s="27"/>
      <c r="H9" s="59"/>
      <c r="I9" s="59"/>
      <c r="J9" s="61"/>
      <c r="K9" s="27"/>
    </row>
    <row r="10">
      <c r="A10" s="55" t="str">
        <f t="shared" si="1"/>
        <v/>
      </c>
      <c r="B10" s="62"/>
      <c r="C10" s="27"/>
      <c r="D10" s="27"/>
      <c r="E10" s="27"/>
      <c r="F10" s="27"/>
      <c r="G10" s="27"/>
      <c r="H10" s="59"/>
      <c r="I10" s="59"/>
      <c r="J10" s="61"/>
      <c r="K10" s="27"/>
    </row>
    <row r="11">
      <c r="A11" s="55" t="str">
        <f t="shared" si="1"/>
        <v/>
      </c>
      <c r="B11" s="62"/>
      <c r="C11" s="27"/>
      <c r="D11" s="27"/>
      <c r="E11" s="27"/>
      <c r="F11" s="27"/>
      <c r="G11" s="27"/>
      <c r="H11" s="59"/>
      <c r="I11" s="59"/>
      <c r="J11" s="61"/>
      <c r="K11" s="27"/>
    </row>
    <row r="12">
      <c r="A12" s="55" t="str">
        <f t="shared" si="1"/>
        <v/>
      </c>
      <c r="B12" s="62"/>
      <c r="C12" s="27"/>
      <c r="D12" s="27"/>
      <c r="E12" s="27"/>
      <c r="F12" s="27"/>
      <c r="G12" s="27"/>
      <c r="H12" s="59"/>
      <c r="I12" s="59"/>
      <c r="J12" s="61"/>
      <c r="K12" s="27"/>
    </row>
    <row r="13">
      <c r="A13" s="55" t="str">
        <f t="shared" si="1"/>
        <v/>
      </c>
      <c r="B13" s="62"/>
      <c r="C13" s="27"/>
      <c r="D13" s="27"/>
      <c r="E13" s="27"/>
      <c r="F13" s="27"/>
      <c r="G13" s="27"/>
      <c r="H13" s="59"/>
      <c r="I13" s="59"/>
      <c r="J13" s="61"/>
      <c r="K13" s="27"/>
    </row>
    <row r="14">
      <c r="A14" s="55" t="str">
        <f t="shared" si="1"/>
        <v/>
      </c>
      <c r="B14" s="62"/>
      <c r="C14" s="27"/>
      <c r="D14" s="27"/>
      <c r="E14" s="27"/>
      <c r="F14" s="27"/>
      <c r="G14" s="27"/>
      <c r="H14" s="59"/>
      <c r="I14" s="59"/>
      <c r="J14" s="61"/>
      <c r="K14" s="27"/>
    </row>
    <row r="15">
      <c r="A15" s="55" t="str">
        <f t="shared" si="1"/>
        <v/>
      </c>
      <c r="B15" s="62"/>
      <c r="C15" s="27"/>
      <c r="D15" s="27"/>
      <c r="E15" s="27"/>
      <c r="F15" s="27"/>
      <c r="G15" s="27"/>
      <c r="H15" s="59"/>
      <c r="I15" s="59"/>
      <c r="J15" s="61"/>
      <c r="K15" s="27"/>
    </row>
    <row r="16">
      <c r="A16" s="55" t="str">
        <f t="shared" si="1"/>
        <v/>
      </c>
      <c r="B16" s="62"/>
      <c r="C16" s="27"/>
      <c r="D16" s="27"/>
      <c r="E16" s="27"/>
      <c r="F16" s="27"/>
      <c r="G16" s="27"/>
      <c r="H16" s="59"/>
      <c r="I16" s="59"/>
      <c r="J16" s="61"/>
      <c r="K16" s="27"/>
    </row>
    <row r="17">
      <c r="A17" s="55" t="str">
        <f t="shared" si="1"/>
        <v/>
      </c>
      <c r="B17" s="62"/>
      <c r="C17" s="27"/>
      <c r="D17" s="27"/>
      <c r="E17" s="27"/>
      <c r="F17" s="27"/>
      <c r="G17" s="27"/>
      <c r="H17" s="59"/>
      <c r="I17" s="59"/>
      <c r="J17" s="61"/>
      <c r="K17" s="27"/>
    </row>
    <row r="18">
      <c r="A18" s="55" t="str">
        <f t="shared" si="1"/>
        <v/>
      </c>
      <c r="B18" s="62"/>
      <c r="C18" s="27"/>
      <c r="D18" s="27"/>
      <c r="E18" s="27"/>
      <c r="F18" s="27"/>
      <c r="G18" s="27"/>
      <c r="H18" s="59"/>
      <c r="I18" s="59"/>
      <c r="J18" s="61"/>
      <c r="K18" s="27"/>
    </row>
    <row r="19">
      <c r="A19" s="55" t="str">
        <f t="shared" si="1"/>
        <v/>
      </c>
      <c r="B19" s="62"/>
      <c r="C19" s="27"/>
      <c r="D19" s="27"/>
      <c r="E19" s="27"/>
      <c r="F19" s="27"/>
      <c r="G19" s="27"/>
      <c r="H19" s="59"/>
      <c r="I19" s="59"/>
      <c r="J19" s="61"/>
      <c r="K19" s="27"/>
    </row>
    <row r="20">
      <c r="A20" s="55" t="str">
        <f t="shared" si="1"/>
        <v/>
      </c>
      <c r="B20" s="62"/>
      <c r="C20" s="27"/>
      <c r="D20" s="27"/>
      <c r="E20" s="27"/>
      <c r="F20" s="27"/>
      <c r="G20" s="27"/>
      <c r="H20" s="59"/>
      <c r="I20" s="59"/>
      <c r="J20" s="61"/>
      <c r="K20" s="27"/>
    </row>
    <row r="21">
      <c r="A21" s="55" t="str">
        <f t="shared" si="1"/>
        <v/>
      </c>
      <c r="B21" s="62"/>
      <c r="C21" s="27"/>
      <c r="D21" s="27"/>
      <c r="E21" s="27"/>
      <c r="F21" s="27"/>
      <c r="G21" s="27"/>
      <c r="H21" s="59"/>
      <c r="I21" s="59"/>
      <c r="J21" s="61"/>
      <c r="K21" s="27"/>
    </row>
    <row r="22">
      <c r="A22" s="55" t="str">
        <f t="shared" si="1"/>
        <v/>
      </c>
      <c r="B22" s="62"/>
      <c r="C22" s="27"/>
      <c r="D22" s="27"/>
      <c r="E22" s="27"/>
      <c r="F22" s="27"/>
      <c r="G22" s="27"/>
      <c r="H22" s="59"/>
      <c r="I22" s="59"/>
      <c r="J22" s="61"/>
      <c r="K22" s="27"/>
    </row>
    <row r="23">
      <c r="A23" s="55" t="str">
        <f t="shared" si="1"/>
        <v/>
      </c>
      <c r="B23" s="62"/>
      <c r="C23" s="27"/>
      <c r="D23" s="27"/>
      <c r="E23" s="27"/>
      <c r="F23" s="27"/>
      <c r="G23" s="27"/>
      <c r="H23" s="59"/>
      <c r="I23" s="59"/>
      <c r="J23" s="61"/>
      <c r="K23" s="27"/>
    </row>
    <row r="24">
      <c r="A24" s="55" t="str">
        <f t="shared" si="1"/>
        <v/>
      </c>
      <c r="B24" s="62"/>
      <c r="C24" s="27"/>
      <c r="D24" s="27"/>
      <c r="E24" s="27"/>
      <c r="F24" s="27"/>
      <c r="G24" s="27"/>
      <c r="H24" s="59"/>
      <c r="I24" s="59"/>
      <c r="J24" s="61"/>
      <c r="K24" s="27"/>
    </row>
    <row r="25">
      <c r="A25" s="55" t="str">
        <f t="shared" si="1"/>
        <v/>
      </c>
      <c r="B25" s="62"/>
      <c r="C25" s="27"/>
      <c r="D25" s="27"/>
      <c r="E25" s="27"/>
      <c r="F25" s="27"/>
      <c r="G25" s="27"/>
      <c r="H25" s="59"/>
      <c r="I25" s="59"/>
      <c r="J25" s="61"/>
      <c r="K25" s="27"/>
    </row>
    <row r="26">
      <c r="A26" s="55" t="str">
        <f t="shared" si="1"/>
        <v/>
      </c>
      <c r="B26" s="62"/>
      <c r="C26" s="27"/>
      <c r="D26" s="27"/>
      <c r="E26" s="27"/>
      <c r="F26" s="27"/>
      <c r="G26" s="27"/>
      <c r="H26" s="59"/>
      <c r="I26" s="59"/>
      <c r="J26" s="61"/>
      <c r="K26" s="27"/>
    </row>
    <row r="27">
      <c r="A27" s="55" t="str">
        <f t="shared" si="1"/>
        <v/>
      </c>
      <c r="B27" s="62"/>
      <c r="C27" s="27"/>
      <c r="D27" s="27"/>
      <c r="E27" s="27"/>
      <c r="F27" s="27"/>
      <c r="G27" s="27"/>
      <c r="H27" s="59"/>
      <c r="I27" s="59"/>
      <c r="J27" s="61"/>
      <c r="K27" s="27"/>
    </row>
    <row r="28">
      <c r="A28" s="55" t="str">
        <f t="shared" si="1"/>
        <v/>
      </c>
      <c r="B28" s="62"/>
      <c r="C28" s="27"/>
      <c r="D28" s="27"/>
      <c r="E28" s="27"/>
      <c r="F28" s="27"/>
      <c r="G28" s="27"/>
      <c r="H28" s="59"/>
      <c r="I28" s="59"/>
      <c r="J28" s="61"/>
      <c r="K28" s="27"/>
    </row>
    <row r="29">
      <c r="A29" s="55" t="str">
        <f t="shared" si="1"/>
        <v/>
      </c>
      <c r="B29" s="62"/>
      <c r="C29" s="27"/>
      <c r="D29" s="27"/>
      <c r="E29" s="27"/>
      <c r="F29" s="27"/>
      <c r="G29" s="27"/>
      <c r="H29" s="59"/>
      <c r="I29" s="59"/>
      <c r="J29" s="61"/>
      <c r="K29" s="27"/>
    </row>
    <row r="30">
      <c r="A30" s="55" t="str">
        <f t="shared" si="1"/>
        <v/>
      </c>
      <c r="B30" s="62"/>
      <c r="C30" s="27"/>
      <c r="D30" s="27"/>
      <c r="E30" s="27"/>
      <c r="F30" s="27"/>
      <c r="G30" s="27"/>
      <c r="H30" s="59"/>
      <c r="I30" s="59"/>
      <c r="J30" s="61"/>
      <c r="K30" s="27"/>
    </row>
    <row r="31">
      <c r="A31" s="55" t="str">
        <f t="shared" si="1"/>
        <v/>
      </c>
      <c r="B31" s="62"/>
      <c r="C31" s="27"/>
      <c r="D31" s="27"/>
      <c r="E31" s="27"/>
      <c r="F31" s="27"/>
      <c r="G31" s="27"/>
      <c r="H31" s="59"/>
      <c r="I31" s="59"/>
      <c r="J31" s="61"/>
      <c r="K31" s="27"/>
    </row>
    <row r="32">
      <c r="A32" s="55" t="str">
        <f t="shared" si="1"/>
        <v/>
      </c>
      <c r="B32" s="62"/>
      <c r="C32" s="27"/>
      <c r="D32" s="27"/>
      <c r="E32" s="27"/>
      <c r="F32" s="27"/>
      <c r="G32" s="27"/>
      <c r="H32" s="59"/>
      <c r="I32" s="59"/>
      <c r="J32" s="61"/>
      <c r="K32" s="27"/>
    </row>
    <row r="33">
      <c r="A33" s="55" t="str">
        <f t="shared" si="1"/>
        <v/>
      </c>
      <c r="B33" s="62"/>
      <c r="C33" s="27"/>
      <c r="D33" s="27"/>
      <c r="E33" s="27"/>
      <c r="F33" s="27"/>
      <c r="G33" s="27"/>
      <c r="H33" s="59"/>
      <c r="I33" s="59"/>
      <c r="J33" s="61"/>
      <c r="K33" s="27"/>
    </row>
    <row r="34">
      <c r="A34" s="55" t="str">
        <f t="shared" si="1"/>
        <v/>
      </c>
      <c r="B34" s="62"/>
      <c r="C34" s="27"/>
      <c r="D34" s="27"/>
      <c r="E34" s="27"/>
      <c r="F34" s="27"/>
      <c r="G34" s="27"/>
      <c r="H34" s="59"/>
      <c r="I34" s="59"/>
      <c r="J34" s="61"/>
      <c r="K34" s="27"/>
    </row>
    <row r="35">
      <c r="A35" s="55" t="str">
        <f t="shared" si="1"/>
        <v/>
      </c>
      <c r="B35" s="62"/>
      <c r="C35" s="27"/>
      <c r="D35" s="27"/>
      <c r="E35" s="27"/>
      <c r="F35" s="27"/>
      <c r="G35" s="27"/>
      <c r="H35" s="59"/>
      <c r="I35" s="59"/>
      <c r="J35" s="61"/>
      <c r="K35" s="27"/>
    </row>
    <row r="36">
      <c r="A36" s="55" t="str">
        <f t="shared" si="1"/>
        <v/>
      </c>
      <c r="B36" s="62"/>
      <c r="C36" s="27"/>
      <c r="D36" s="27"/>
      <c r="E36" s="27"/>
      <c r="F36" s="27"/>
      <c r="G36" s="27"/>
      <c r="H36" s="59"/>
      <c r="I36" s="59"/>
      <c r="J36" s="61"/>
      <c r="K36" s="27"/>
    </row>
    <row r="37">
      <c r="A37" s="55" t="str">
        <f t="shared" si="1"/>
        <v/>
      </c>
      <c r="B37" s="62"/>
      <c r="C37" s="27"/>
      <c r="D37" s="27"/>
      <c r="E37" s="27"/>
      <c r="F37" s="27"/>
      <c r="G37" s="27"/>
      <c r="H37" s="59"/>
      <c r="I37" s="59"/>
      <c r="J37" s="61"/>
      <c r="K37" s="27"/>
    </row>
    <row r="38">
      <c r="A38" s="55" t="str">
        <f t="shared" si="1"/>
        <v/>
      </c>
      <c r="B38" s="62"/>
      <c r="C38" s="27"/>
      <c r="D38" s="27"/>
      <c r="E38" s="27"/>
      <c r="F38" s="27"/>
      <c r="G38" s="27"/>
      <c r="H38" s="59"/>
      <c r="I38" s="59"/>
      <c r="J38" s="61"/>
      <c r="K38" s="27"/>
    </row>
    <row r="39">
      <c r="A39" s="55" t="str">
        <f t="shared" si="1"/>
        <v/>
      </c>
      <c r="B39" s="62"/>
      <c r="C39" s="27"/>
      <c r="D39" s="27"/>
      <c r="E39" s="27"/>
      <c r="F39" s="27"/>
      <c r="G39" s="27"/>
      <c r="H39" s="59"/>
      <c r="I39" s="59"/>
      <c r="J39" s="61"/>
      <c r="K39" s="27"/>
    </row>
    <row r="40">
      <c r="A40" s="55" t="str">
        <f t="shared" si="1"/>
        <v/>
      </c>
      <c r="B40" s="62"/>
      <c r="C40" s="27"/>
      <c r="D40" s="27"/>
      <c r="E40" s="27"/>
      <c r="F40" s="27"/>
      <c r="G40" s="27"/>
      <c r="H40" s="59"/>
      <c r="I40" s="59"/>
      <c r="J40" s="61"/>
      <c r="K40" s="27"/>
    </row>
    <row r="41">
      <c r="A41" s="55" t="str">
        <f t="shared" si="1"/>
        <v/>
      </c>
      <c r="B41" s="62"/>
      <c r="C41" s="27"/>
      <c r="D41" s="27"/>
      <c r="E41" s="27"/>
      <c r="F41" s="27"/>
      <c r="G41" s="27"/>
      <c r="H41" s="59"/>
      <c r="I41" s="59"/>
      <c r="J41" s="61"/>
      <c r="K41" s="27"/>
    </row>
    <row r="42">
      <c r="A42" s="55" t="str">
        <f t="shared" si="1"/>
        <v/>
      </c>
      <c r="B42" s="62"/>
      <c r="C42" s="27"/>
      <c r="D42" s="27"/>
      <c r="E42" s="27"/>
      <c r="F42" s="27"/>
      <c r="G42" s="27"/>
      <c r="H42" s="59"/>
      <c r="I42" s="59"/>
      <c r="J42" s="61"/>
      <c r="K42" s="27"/>
    </row>
    <row r="43">
      <c r="A43" s="55" t="str">
        <f t="shared" si="1"/>
        <v/>
      </c>
      <c r="B43" s="62"/>
      <c r="C43" s="27"/>
      <c r="D43" s="27"/>
      <c r="E43" s="27"/>
      <c r="F43" s="27"/>
      <c r="G43" s="27"/>
      <c r="H43" s="59"/>
      <c r="I43" s="59"/>
      <c r="J43" s="61"/>
      <c r="K43" s="27"/>
    </row>
    <row r="44">
      <c r="A44" s="55" t="str">
        <f t="shared" si="1"/>
        <v/>
      </c>
      <c r="B44" s="62"/>
      <c r="C44" s="27"/>
      <c r="D44" s="27"/>
      <c r="E44" s="27"/>
      <c r="F44" s="27"/>
      <c r="G44" s="27"/>
      <c r="H44" s="59"/>
      <c r="I44" s="59"/>
      <c r="J44" s="61"/>
      <c r="K44" s="27"/>
    </row>
    <row r="45">
      <c r="A45" s="55" t="str">
        <f t="shared" si="1"/>
        <v/>
      </c>
      <c r="B45" s="62"/>
      <c r="C45" s="27"/>
      <c r="D45" s="27"/>
      <c r="E45" s="27"/>
      <c r="F45" s="27"/>
      <c r="G45" s="27"/>
      <c r="H45" s="59"/>
      <c r="I45" s="59"/>
      <c r="J45" s="61"/>
      <c r="K45" s="27"/>
    </row>
    <row r="46">
      <c r="A46" s="55" t="str">
        <f t="shared" si="1"/>
        <v/>
      </c>
      <c r="B46" s="62"/>
      <c r="C46" s="27"/>
      <c r="D46" s="27"/>
      <c r="E46" s="27"/>
      <c r="F46" s="27"/>
      <c r="G46" s="27"/>
      <c r="H46" s="59"/>
      <c r="I46" s="59"/>
      <c r="J46" s="61"/>
      <c r="K46" s="27"/>
    </row>
    <row r="47">
      <c r="A47" s="55" t="str">
        <f t="shared" si="1"/>
        <v/>
      </c>
      <c r="B47" s="62"/>
      <c r="C47" s="27"/>
      <c r="D47" s="27"/>
      <c r="E47" s="27"/>
      <c r="F47" s="27"/>
      <c r="G47" s="27"/>
      <c r="H47" s="59"/>
      <c r="I47" s="59"/>
      <c r="J47" s="61"/>
      <c r="K47" s="27"/>
    </row>
    <row r="48">
      <c r="A48" s="55" t="str">
        <f t="shared" si="1"/>
        <v/>
      </c>
      <c r="B48" s="62"/>
      <c r="C48" s="27"/>
      <c r="D48" s="27"/>
      <c r="E48" s="27"/>
      <c r="F48" s="27"/>
      <c r="G48" s="27"/>
      <c r="H48" s="59"/>
      <c r="I48" s="59"/>
      <c r="J48" s="61"/>
      <c r="K48" s="27"/>
    </row>
    <row r="49">
      <c r="A49" s="55" t="str">
        <f t="shared" si="1"/>
        <v/>
      </c>
      <c r="B49" s="62"/>
      <c r="C49" s="27"/>
      <c r="D49" s="27"/>
      <c r="E49" s="27"/>
      <c r="F49" s="27"/>
      <c r="G49" s="27"/>
      <c r="H49" s="59"/>
      <c r="I49" s="59"/>
      <c r="J49" s="61"/>
      <c r="K49" s="27"/>
    </row>
    <row r="50">
      <c r="A50" s="55" t="str">
        <f t="shared" si="1"/>
        <v/>
      </c>
      <c r="B50" s="62"/>
      <c r="C50" s="27"/>
      <c r="D50" s="27"/>
      <c r="E50" s="27"/>
      <c r="F50" s="27"/>
      <c r="G50" s="27"/>
      <c r="H50" s="59"/>
      <c r="I50" s="59"/>
      <c r="J50" s="61"/>
      <c r="K50" s="27"/>
    </row>
    <row r="51">
      <c r="A51" s="55" t="str">
        <f t="shared" si="1"/>
        <v/>
      </c>
      <c r="B51" s="62"/>
      <c r="C51" s="27"/>
      <c r="D51" s="27"/>
      <c r="E51" s="27"/>
      <c r="F51" s="27"/>
      <c r="G51" s="27"/>
      <c r="H51" s="59"/>
      <c r="I51" s="59"/>
      <c r="J51" s="61"/>
      <c r="K51" s="27"/>
    </row>
    <row r="52">
      <c r="A52" s="55" t="str">
        <f t="shared" si="1"/>
        <v/>
      </c>
      <c r="B52" s="62"/>
      <c r="C52" s="27"/>
      <c r="D52" s="27"/>
      <c r="E52" s="27"/>
      <c r="F52" s="27"/>
      <c r="G52" s="27"/>
      <c r="H52" s="59"/>
      <c r="I52" s="59"/>
      <c r="J52" s="61"/>
      <c r="K52" s="27"/>
    </row>
    <row r="53">
      <c r="A53" s="55" t="str">
        <f t="shared" si="1"/>
        <v/>
      </c>
      <c r="B53" s="62"/>
      <c r="C53" s="27"/>
      <c r="D53" s="27"/>
      <c r="E53" s="27"/>
      <c r="F53" s="27"/>
      <c r="G53" s="27"/>
      <c r="H53" s="59"/>
      <c r="I53" s="59"/>
      <c r="J53" s="61"/>
      <c r="K53" s="27"/>
    </row>
    <row r="54">
      <c r="A54" s="55" t="str">
        <f t="shared" si="1"/>
        <v/>
      </c>
      <c r="B54" s="62"/>
      <c r="C54" s="27"/>
      <c r="D54" s="27"/>
      <c r="E54" s="27"/>
      <c r="F54" s="27"/>
      <c r="G54" s="27"/>
      <c r="H54" s="59"/>
      <c r="I54" s="59"/>
      <c r="J54" s="61"/>
      <c r="K54" s="27"/>
    </row>
    <row r="55">
      <c r="A55" s="55" t="str">
        <f t="shared" si="1"/>
        <v/>
      </c>
      <c r="B55" s="62"/>
      <c r="C55" s="27"/>
      <c r="D55" s="27"/>
      <c r="E55" s="27"/>
      <c r="F55" s="27"/>
      <c r="G55" s="27"/>
      <c r="H55" s="59"/>
      <c r="I55" s="59"/>
      <c r="J55" s="61"/>
      <c r="K55" s="27"/>
    </row>
    <row r="56">
      <c r="A56" s="55" t="str">
        <f t="shared" si="1"/>
        <v/>
      </c>
      <c r="B56" s="62"/>
      <c r="C56" s="27"/>
      <c r="D56" s="27"/>
      <c r="E56" s="27"/>
      <c r="F56" s="27"/>
      <c r="G56" s="27"/>
      <c r="H56" s="59"/>
      <c r="I56" s="59"/>
      <c r="J56" s="61"/>
      <c r="K56" s="27"/>
    </row>
    <row r="57">
      <c r="A57" s="55" t="str">
        <f t="shared" si="1"/>
        <v/>
      </c>
      <c r="B57" s="62"/>
      <c r="C57" s="27"/>
      <c r="D57" s="27"/>
      <c r="E57" s="27"/>
      <c r="F57" s="27"/>
      <c r="G57" s="27"/>
      <c r="H57" s="59"/>
      <c r="I57" s="59"/>
      <c r="J57" s="61"/>
      <c r="K57" s="27"/>
    </row>
    <row r="58">
      <c r="A58" s="55" t="str">
        <f t="shared" si="1"/>
        <v/>
      </c>
      <c r="B58" s="62"/>
      <c r="C58" s="27"/>
      <c r="D58" s="27"/>
      <c r="E58" s="27"/>
      <c r="F58" s="27"/>
      <c r="G58" s="27"/>
      <c r="H58" s="59"/>
      <c r="I58" s="59"/>
      <c r="J58" s="61"/>
      <c r="K58" s="27"/>
    </row>
    <row r="59">
      <c r="A59" s="55" t="str">
        <f t="shared" si="1"/>
        <v/>
      </c>
      <c r="B59" s="62"/>
      <c r="C59" s="27"/>
      <c r="D59" s="27"/>
      <c r="E59" s="27"/>
      <c r="F59" s="27"/>
      <c r="G59" s="27"/>
      <c r="H59" s="59"/>
      <c r="I59" s="59"/>
      <c r="J59" s="61"/>
      <c r="K59" s="27"/>
    </row>
    <row r="60">
      <c r="A60" s="55" t="str">
        <f t="shared" si="1"/>
        <v/>
      </c>
      <c r="B60" s="62"/>
      <c r="C60" s="27"/>
      <c r="D60" s="27"/>
      <c r="E60" s="27"/>
      <c r="F60" s="27"/>
      <c r="G60" s="27"/>
      <c r="H60" s="59"/>
      <c r="I60" s="59"/>
      <c r="J60" s="61"/>
      <c r="K60" s="27"/>
    </row>
    <row r="61">
      <c r="A61" s="55" t="str">
        <f t="shared" si="1"/>
        <v/>
      </c>
      <c r="B61" s="62"/>
      <c r="C61" s="27"/>
      <c r="D61" s="27"/>
      <c r="E61" s="27"/>
      <c r="F61" s="27"/>
      <c r="G61" s="27"/>
      <c r="H61" s="59"/>
      <c r="I61" s="59"/>
      <c r="J61" s="61"/>
      <c r="K61" s="27"/>
    </row>
    <row r="62">
      <c r="A62" s="55" t="str">
        <f t="shared" si="1"/>
        <v/>
      </c>
      <c r="B62" s="62"/>
      <c r="C62" s="27"/>
      <c r="D62" s="27"/>
      <c r="E62" s="27"/>
      <c r="F62" s="27"/>
      <c r="G62" s="27"/>
      <c r="H62" s="59"/>
      <c r="I62" s="59"/>
      <c r="J62" s="61"/>
      <c r="K62" s="27"/>
    </row>
    <row r="63">
      <c r="A63" s="55" t="str">
        <f t="shared" si="1"/>
        <v/>
      </c>
      <c r="B63" s="62"/>
      <c r="C63" s="27"/>
      <c r="D63" s="27"/>
      <c r="E63" s="27"/>
      <c r="F63" s="27"/>
      <c r="G63" s="27"/>
      <c r="H63" s="59"/>
      <c r="I63" s="59"/>
      <c r="J63" s="61"/>
      <c r="K63" s="27"/>
    </row>
    <row r="64">
      <c r="A64" s="55" t="str">
        <f t="shared" si="1"/>
        <v/>
      </c>
      <c r="B64" s="62"/>
      <c r="C64" s="27"/>
      <c r="D64" s="27"/>
      <c r="E64" s="27"/>
      <c r="F64" s="27"/>
      <c r="G64" s="27"/>
      <c r="H64" s="59"/>
      <c r="I64" s="59"/>
      <c r="J64" s="61"/>
      <c r="K64" s="27"/>
    </row>
    <row r="65">
      <c r="A65" s="55" t="str">
        <f t="shared" si="1"/>
        <v/>
      </c>
      <c r="B65" s="62"/>
      <c r="C65" s="27"/>
      <c r="D65" s="27"/>
      <c r="E65" s="27"/>
      <c r="F65" s="27"/>
      <c r="G65" s="27"/>
      <c r="H65" s="59"/>
      <c r="I65" s="59"/>
      <c r="J65" s="61"/>
      <c r="K65" s="27"/>
    </row>
    <row r="66">
      <c r="A66" s="55" t="str">
        <f t="shared" si="1"/>
        <v/>
      </c>
      <c r="B66" s="62"/>
      <c r="C66" s="27"/>
      <c r="D66" s="27"/>
      <c r="E66" s="27"/>
      <c r="F66" s="27"/>
      <c r="G66" s="27"/>
      <c r="H66" s="59"/>
      <c r="I66" s="59"/>
      <c r="J66" s="61"/>
      <c r="K66" s="27"/>
    </row>
    <row r="67">
      <c r="A67" s="55" t="str">
        <f t="shared" si="1"/>
        <v/>
      </c>
      <c r="B67" s="62"/>
      <c r="C67" s="27"/>
      <c r="D67" s="27"/>
      <c r="E67" s="27"/>
      <c r="F67" s="27"/>
      <c r="G67" s="27"/>
      <c r="H67" s="59"/>
      <c r="I67" s="59"/>
      <c r="J67" s="61"/>
      <c r="K67" s="27"/>
    </row>
    <row r="68">
      <c r="A68" s="55" t="str">
        <f t="shared" si="1"/>
        <v/>
      </c>
      <c r="B68" s="62"/>
      <c r="C68" s="27"/>
      <c r="D68" s="27"/>
      <c r="E68" s="27"/>
      <c r="F68" s="27"/>
      <c r="G68" s="27"/>
      <c r="H68" s="59"/>
      <c r="I68" s="59"/>
      <c r="J68" s="61"/>
      <c r="K68" s="27"/>
    </row>
    <row r="69">
      <c r="A69" s="55" t="str">
        <f t="shared" si="1"/>
        <v/>
      </c>
      <c r="B69" s="62"/>
      <c r="C69" s="27"/>
      <c r="D69" s="27"/>
      <c r="E69" s="27"/>
      <c r="F69" s="27"/>
      <c r="G69" s="27"/>
      <c r="H69" s="59"/>
      <c r="I69" s="59"/>
      <c r="J69" s="61"/>
      <c r="K69" s="27"/>
    </row>
    <row r="70">
      <c r="A70" s="55" t="str">
        <f t="shared" si="1"/>
        <v/>
      </c>
      <c r="B70" s="62"/>
      <c r="C70" s="27"/>
      <c r="D70" s="27"/>
      <c r="E70" s="27"/>
      <c r="F70" s="27"/>
      <c r="G70" s="27"/>
      <c r="H70" s="59"/>
      <c r="I70" s="59"/>
      <c r="J70" s="61"/>
      <c r="K70" s="27"/>
    </row>
    <row r="71">
      <c r="A71" s="55" t="str">
        <f t="shared" si="1"/>
        <v/>
      </c>
      <c r="B71" s="62"/>
      <c r="C71" s="27"/>
      <c r="D71" s="27"/>
      <c r="E71" s="27"/>
      <c r="F71" s="27"/>
      <c r="G71" s="27"/>
      <c r="H71" s="59"/>
      <c r="I71" s="59"/>
      <c r="J71" s="61"/>
      <c r="K71" s="27"/>
    </row>
    <row r="72">
      <c r="A72" s="55" t="str">
        <f t="shared" si="1"/>
        <v/>
      </c>
      <c r="B72" s="62"/>
      <c r="C72" s="27"/>
      <c r="D72" s="27"/>
      <c r="E72" s="27"/>
      <c r="F72" s="27"/>
      <c r="G72" s="27"/>
      <c r="H72" s="59"/>
      <c r="I72" s="59"/>
      <c r="J72" s="61"/>
      <c r="K72" s="27"/>
    </row>
    <row r="73">
      <c r="A73" s="55" t="str">
        <f t="shared" si="1"/>
        <v/>
      </c>
      <c r="B73" s="62"/>
      <c r="C73" s="27"/>
      <c r="D73" s="27"/>
      <c r="E73" s="27"/>
      <c r="F73" s="27"/>
      <c r="G73" s="27"/>
      <c r="H73" s="59"/>
      <c r="I73" s="59"/>
      <c r="J73" s="61"/>
      <c r="K73" s="27"/>
    </row>
    <row r="74">
      <c r="A74" s="55" t="str">
        <f t="shared" si="1"/>
        <v/>
      </c>
      <c r="B74" s="62"/>
      <c r="C74" s="27"/>
      <c r="D74" s="27"/>
      <c r="E74" s="27"/>
      <c r="F74" s="27"/>
      <c r="G74" s="27"/>
      <c r="H74" s="59"/>
      <c r="I74" s="59"/>
      <c r="J74" s="61"/>
      <c r="K74" s="27"/>
    </row>
    <row r="75">
      <c r="A75" s="55" t="str">
        <f t="shared" si="1"/>
        <v/>
      </c>
      <c r="B75" s="62"/>
      <c r="C75" s="27"/>
      <c r="D75" s="27"/>
      <c r="E75" s="27"/>
      <c r="F75" s="27"/>
      <c r="G75" s="27"/>
      <c r="H75" s="59"/>
      <c r="I75" s="59"/>
      <c r="J75" s="61"/>
      <c r="K75" s="27"/>
    </row>
    <row r="76">
      <c r="A76" s="55" t="str">
        <f t="shared" si="1"/>
        <v/>
      </c>
      <c r="B76" s="62"/>
      <c r="C76" s="27"/>
      <c r="D76" s="27"/>
      <c r="E76" s="27"/>
      <c r="F76" s="27"/>
      <c r="G76" s="27"/>
      <c r="H76" s="59"/>
      <c r="I76" s="59"/>
      <c r="J76" s="61"/>
      <c r="K76" s="27"/>
    </row>
    <row r="77">
      <c r="A77" s="55" t="str">
        <f t="shared" si="1"/>
        <v/>
      </c>
      <c r="B77" s="62"/>
      <c r="C77" s="27"/>
      <c r="D77" s="27"/>
      <c r="E77" s="27"/>
      <c r="F77" s="27"/>
      <c r="G77" s="27"/>
      <c r="H77" s="59"/>
      <c r="I77" s="59"/>
      <c r="J77" s="61"/>
      <c r="K77" s="27"/>
    </row>
    <row r="78">
      <c r="A78" s="55" t="str">
        <f t="shared" si="1"/>
        <v/>
      </c>
      <c r="B78" s="62"/>
      <c r="C78" s="27"/>
      <c r="D78" s="27"/>
      <c r="E78" s="27"/>
      <c r="F78" s="27"/>
      <c r="G78" s="27"/>
      <c r="H78" s="59"/>
      <c r="I78" s="59"/>
      <c r="J78" s="61"/>
      <c r="K78" s="27"/>
    </row>
    <row r="79">
      <c r="A79" s="55" t="str">
        <f t="shared" si="1"/>
        <v/>
      </c>
      <c r="B79" s="62"/>
      <c r="C79" s="27"/>
      <c r="D79" s="27"/>
      <c r="E79" s="27"/>
      <c r="F79" s="27"/>
      <c r="G79" s="27"/>
      <c r="H79" s="59"/>
      <c r="I79" s="59"/>
      <c r="J79" s="61"/>
      <c r="K79" s="27"/>
    </row>
    <row r="80">
      <c r="A80" s="55" t="str">
        <f t="shared" si="1"/>
        <v/>
      </c>
      <c r="B80" s="62"/>
      <c r="C80" s="27"/>
      <c r="D80" s="27"/>
      <c r="E80" s="27"/>
      <c r="F80" s="27"/>
      <c r="G80" s="27"/>
      <c r="H80" s="59"/>
      <c r="I80" s="59"/>
      <c r="J80" s="61"/>
      <c r="K80" s="27"/>
    </row>
    <row r="81">
      <c r="A81" s="55" t="str">
        <f t="shared" si="1"/>
        <v/>
      </c>
      <c r="B81" s="62"/>
      <c r="C81" s="27"/>
      <c r="D81" s="27"/>
      <c r="E81" s="27"/>
      <c r="F81" s="27"/>
      <c r="G81" s="27"/>
      <c r="H81" s="59"/>
      <c r="I81" s="59"/>
      <c r="J81" s="61"/>
      <c r="K81" s="27"/>
    </row>
    <row r="82">
      <c r="A82" s="55" t="str">
        <f t="shared" si="1"/>
        <v/>
      </c>
      <c r="B82" s="62"/>
      <c r="C82" s="27"/>
      <c r="D82" s="27"/>
      <c r="E82" s="27"/>
      <c r="F82" s="27"/>
      <c r="G82" s="27"/>
      <c r="H82" s="59"/>
      <c r="I82" s="59"/>
      <c r="J82" s="61"/>
      <c r="K82" s="27"/>
    </row>
    <row r="83">
      <c r="A83" s="55" t="str">
        <f t="shared" si="1"/>
        <v/>
      </c>
      <c r="B83" s="62"/>
      <c r="C83" s="27"/>
      <c r="D83" s="27"/>
      <c r="E83" s="27"/>
      <c r="F83" s="27"/>
      <c r="G83" s="27"/>
      <c r="H83" s="59"/>
      <c r="I83" s="59"/>
      <c r="J83" s="61"/>
      <c r="K83" s="27"/>
    </row>
    <row r="84">
      <c r="A84" s="55" t="str">
        <f t="shared" si="1"/>
        <v/>
      </c>
      <c r="B84" s="62"/>
      <c r="C84" s="27"/>
      <c r="D84" s="27"/>
      <c r="E84" s="27"/>
      <c r="F84" s="27"/>
      <c r="G84" s="27"/>
      <c r="H84" s="59"/>
      <c r="I84" s="59"/>
      <c r="J84" s="61"/>
      <c r="K84" s="27"/>
    </row>
    <row r="85">
      <c r="A85" s="55" t="str">
        <f t="shared" si="1"/>
        <v/>
      </c>
      <c r="B85" s="62"/>
      <c r="C85" s="27"/>
      <c r="D85" s="27"/>
      <c r="E85" s="27"/>
      <c r="F85" s="27"/>
      <c r="G85" s="27"/>
      <c r="H85" s="59"/>
      <c r="I85" s="59"/>
      <c r="J85" s="61"/>
      <c r="K85" s="27"/>
    </row>
    <row r="86">
      <c r="A86" s="55" t="str">
        <f t="shared" si="1"/>
        <v/>
      </c>
      <c r="B86" s="62"/>
      <c r="C86" s="27"/>
      <c r="D86" s="27"/>
      <c r="E86" s="27"/>
      <c r="F86" s="27"/>
      <c r="G86" s="27"/>
      <c r="H86" s="59"/>
      <c r="I86" s="59"/>
      <c r="J86" s="61"/>
      <c r="K86" s="27"/>
    </row>
    <row r="87">
      <c r="A87" s="55" t="str">
        <f t="shared" si="1"/>
        <v/>
      </c>
      <c r="B87" s="62"/>
      <c r="C87" s="27"/>
      <c r="D87" s="27"/>
      <c r="E87" s="27"/>
      <c r="F87" s="27"/>
      <c r="G87" s="27"/>
      <c r="H87" s="59"/>
      <c r="I87" s="59"/>
      <c r="J87" s="61"/>
      <c r="K87" s="27"/>
    </row>
    <row r="88">
      <c r="A88" s="55" t="str">
        <f t="shared" si="1"/>
        <v/>
      </c>
      <c r="B88" s="62"/>
      <c r="C88" s="27"/>
      <c r="D88" s="27"/>
      <c r="E88" s="27"/>
      <c r="F88" s="27"/>
      <c r="G88" s="27"/>
      <c r="H88" s="59"/>
      <c r="I88" s="59"/>
      <c r="J88" s="61"/>
      <c r="K88" s="27"/>
    </row>
    <row r="89">
      <c r="A89" s="55" t="str">
        <f t="shared" si="1"/>
        <v/>
      </c>
      <c r="B89" s="62"/>
      <c r="C89" s="27"/>
      <c r="D89" s="27"/>
      <c r="E89" s="27"/>
      <c r="F89" s="27"/>
      <c r="G89" s="27"/>
      <c r="H89" s="59"/>
      <c r="I89" s="59"/>
      <c r="J89" s="61"/>
      <c r="K89" s="27"/>
    </row>
    <row r="90">
      <c r="A90" s="55" t="str">
        <f t="shared" si="1"/>
        <v/>
      </c>
      <c r="B90" s="62"/>
      <c r="C90" s="27"/>
      <c r="D90" s="27"/>
      <c r="E90" s="27"/>
      <c r="F90" s="27"/>
      <c r="G90" s="27"/>
      <c r="H90" s="59"/>
      <c r="I90" s="59"/>
      <c r="J90" s="61"/>
      <c r="K90" s="27"/>
    </row>
    <row r="91">
      <c r="A91" s="55" t="str">
        <f t="shared" si="1"/>
        <v/>
      </c>
      <c r="B91" s="62"/>
      <c r="C91" s="27"/>
      <c r="D91" s="27"/>
      <c r="E91" s="27"/>
      <c r="F91" s="27"/>
      <c r="G91" s="27"/>
      <c r="H91" s="59"/>
      <c r="I91" s="59"/>
      <c r="J91" s="61"/>
      <c r="K91" s="27"/>
    </row>
    <row r="92">
      <c r="A92" s="55" t="str">
        <f t="shared" si="1"/>
        <v/>
      </c>
      <c r="B92" s="62"/>
      <c r="C92" s="27"/>
      <c r="D92" s="27"/>
      <c r="E92" s="27"/>
      <c r="F92" s="27"/>
      <c r="G92" s="27"/>
      <c r="H92" s="59"/>
      <c r="I92" s="59"/>
      <c r="J92" s="61"/>
      <c r="K92" s="27"/>
    </row>
    <row r="93">
      <c r="A93" s="55" t="str">
        <f t="shared" si="1"/>
        <v/>
      </c>
      <c r="B93" s="62"/>
      <c r="C93" s="27"/>
      <c r="D93" s="27"/>
      <c r="E93" s="27"/>
      <c r="F93" s="27"/>
      <c r="G93" s="27"/>
      <c r="H93" s="59"/>
      <c r="I93" s="59"/>
      <c r="J93" s="61"/>
      <c r="K93" s="27"/>
    </row>
    <row r="94">
      <c r="A94" s="55" t="str">
        <f t="shared" si="1"/>
        <v/>
      </c>
      <c r="B94" s="62"/>
      <c r="C94" s="27"/>
      <c r="D94" s="27"/>
      <c r="E94" s="27"/>
      <c r="F94" s="27"/>
      <c r="G94" s="27"/>
      <c r="H94" s="59"/>
      <c r="I94" s="59"/>
      <c r="J94" s="61"/>
      <c r="K94" s="27"/>
    </row>
    <row r="95">
      <c r="A95" s="55" t="str">
        <f t="shared" si="1"/>
        <v/>
      </c>
      <c r="B95" s="62"/>
      <c r="C95" s="27"/>
      <c r="D95" s="27"/>
      <c r="E95" s="27"/>
      <c r="F95" s="27"/>
      <c r="G95" s="27"/>
      <c r="H95" s="59"/>
      <c r="I95" s="59"/>
      <c r="J95" s="61"/>
      <c r="K95" s="27"/>
    </row>
    <row r="96">
      <c r="A96" s="55" t="str">
        <f t="shared" si="1"/>
        <v/>
      </c>
      <c r="B96" s="62"/>
      <c r="C96" s="27"/>
      <c r="D96" s="27"/>
      <c r="E96" s="27"/>
      <c r="F96" s="27"/>
      <c r="G96" s="27"/>
      <c r="H96" s="59"/>
      <c r="I96" s="59"/>
      <c r="J96" s="61"/>
      <c r="K96" s="27"/>
    </row>
    <row r="97">
      <c r="A97" s="55" t="str">
        <f t="shared" si="1"/>
        <v/>
      </c>
      <c r="B97" s="62"/>
      <c r="C97" s="27"/>
      <c r="D97" s="27"/>
      <c r="E97" s="27"/>
      <c r="F97" s="27"/>
      <c r="G97" s="27"/>
      <c r="H97" s="59"/>
      <c r="I97" s="59"/>
      <c r="J97" s="61"/>
      <c r="K97" s="27"/>
    </row>
    <row r="98">
      <c r="A98" s="55" t="str">
        <f t="shared" si="1"/>
        <v/>
      </c>
      <c r="B98" s="62"/>
      <c r="C98" s="27"/>
      <c r="D98" s="27"/>
      <c r="E98" s="27"/>
      <c r="F98" s="27"/>
      <c r="G98" s="27"/>
      <c r="H98" s="59"/>
      <c r="I98" s="59"/>
      <c r="J98" s="61"/>
      <c r="K98" s="27"/>
    </row>
    <row r="99">
      <c r="A99" s="55" t="str">
        <f t="shared" si="1"/>
        <v/>
      </c>
      <c r="B99" s="62"/>
      <c r="C99" s="27"/>
      <c r="D99" s="27"/>
      <c r="E99" s="27"/>
      <c r="F99" s="27"/>
      <c r="G99" s="27"/>
      <c r="H99" s="59"/>
      <c r="I99" s="59"/>
      <c r="J99" s="61"/>
      <c r="K99" s="27"/>
    </row>
    <row r="100">
      <c r="A100" s="55" t="str">
        <f t="shared" si="1"/>
        <v/>
      </c>
      <c r="B100" s="62"/>
      <c r="C100" s="27"/>
      <c r="D100" s="27"/>
      <c r="E100" s="27"/>
      <c r="F100" s="27"/>
      <c r="G100" s="27"/>
      <c r="H100" s="59"/>
      <c r="I100" s="59"/>
      <c r="J100" s="61"/>
      <c r="K100" s="27"/>
    </row>
    <row r="101">
      <c r="A101" s="55" t="str">
        <f t="shared" si="1"/>
        <v/>
      </c>
      <c r="B101" s="62"/>
      <c r="C101" s="27"/>
      <c r="D101" s="27"/>
      <c r="E101" s="27"/>
      <c r="F101" s="27"/>
      <c r="G101" s="27"/>
      <c r="H101" s="59"/>
      <c r="I101" s="59"/>
      <c r="J101" s="61"/>
      <c r="K101" s="27"/>
    </row>
    <row r="102">
      <c r="A102" s="55" t="str">
        <f t="shared" si="1"/>
        <v/>
      </c>
      <c r="B102" s="62"/>
      <c r="C102" s="27"/>
      <c r="D102" s="27"/>
      <c r="E102" s="27"/>
      <c r="F102" s="27"/>
      <c r="G102" s="27"/>
      <c r="H102" s="59"/>
      <c r="I102" s="59"/>
      <c r="J102" s="61"/>
      <c r="K102" s="27"/>
    </row>
    <row r="103">
      <c r="A103" s="55" t="str">
        <f t="shared" si="1"/>
        <v/>
      </c>
      <c r="B103" s="62"/>
      <c r="C103" s="27"/>
      <c r="D103" s="27"/>
      <c r="E103" s="27"/>
      <c r="F103" s="27"/>
      <c r="G103" s="27"/>
      <c r="H103" s="59"/>
      <c r="I103" s="59"/>
      <c r="J103" s="61"/>
      <c r="K103" s="27"/>
    </row>
    <row r="104">
      <c r="A104" s="55" t="str">
        <f t="shared" si="1"/>
        <v/>
      </c>
      <c r="B104" s="62"/>
      <c r="C104" s="27"/>
      <c r="D104" s="27"/>
      <c r="E104" s="27"/>
      <c r="F104" s="27"/>
      <c r="G104" s="27"/>
      <c r="H104" s="59"/>
      <c r="I104" s="59"/>
      <c r="J104" s="61"/>
      <c r="K104" s="27"/>
    </row>
    <row r="105">
      <c r="A105" s="55" t="str">
        <f t="shared" si="1"/>
        <v/>
      </c>
      <c r="B105" s="62"/>
      <c r="C105" s="27"/>
      <c r="D105" s="27"/>
      <c r="E105" s="27"/>
      <c r="F105" s="27"/>
      <c r="G105" s="27"/>
      <c r="H105" s="59"/>
      <c r="I105" s="59"/>
      <c r="J105" s="61"/>
      <c r="K105" s="27"/>
    </row>
    <row r="106">
      <c r="A106" s="55" t="str">
        <f t="shared" si="1"/>
        <v/>
      </c>
      <c r="B106" s="62"/>
      <c r="C106" s="27"/>
      <c r="D106" s="27"/>
      <c r="E106" s="27"/>
      <c r="F106" s="27"/>
      <c r="G106" s="27"/>
      <c r="H106" s="59"/>
      <c r="I106" s="59"/>
      <c r="J106" s="61"/>
      <c r="K106" s="27"/>
    </row>
    <row r="107">
      <c r="A107" s="55" t="str">
        <f t="shared" si="1"/>
        <v/>
      </c>
      <c r="B107" s="62"/>
      <c r="C107" s="27"/>
      <c r="D107" s="27"/>
      <c r="E107" s="27"/>
      <c r="F107" s="27"/>
      <c r="G107" s="27"/>
      <c r="H107" s="59"/>
      <c r="I107" s="59"/>
      <c r="J107" s="61"/>
      <c r="K107" s="27"/>
    </row>
    <row r="108">
      <c r="A108" s="55" t="str">
        <f t="shared" si="1"/>
        <v/>
      </c>
      <c r="B108" s="62"/>
      <c r="C108" s="27"/>
      <c r="D108" s="27"/>
      <c r="E108" s="27"/>
      <c r="F108" s="27"/>
      <c r="G108" s="27"/>
      <c r="H108" s="59"/>
      <c r="I108" s="59"/>
      <c r="J108" s="61"/>
      <c r="K108" s="27"/>
    </row>
    <row r="109">
      <c r="A109" s="55" t="str">
        <f t="shared" si="1"/>
        <v/>
      </c>
      <c r="B109" s="62"/>
      <c r="C109" s="27"/>
      <c r="D109" s="27"/>
      <c r="E109" s="27"/>
      <c r="F109" s="27"/>
      <c r="G109" s="27"/>
      <c r="H109" s="59"/>
      <c r="I109" s="59"/>
      <c r="J109" s="61"/>
      <c r="K109" s="27"/>
    </row>
    <row r="110">
      <c r="A110" s="55" t="str">
        <f t="shared" si="1"/>
        <v/>
      </c>
      <c r="B110" s="62"/>
      <c r="C110" s="27"/>
      <c r="D110" s="27"/>
      <c r="E110" s="27"/>
      <c r="F110" s="27"/>
      <c r="G110" s="27"/>
      <c r="H110" s="59"/>
      <c r="I110" s="59"/>
      <c r="J110" s="61"/>
      <c r="K110" s="27"/>
    </row>
    <row r="111">
      <c r="A111" s="55" t="str">
        <f t="shared" si="1"/>
        <v/>
      </c>
      <c r="B111" s="62"/>
      <c r="C111" s="27"/>
      <c r="D111" s="27"/>
      <c r="E111" s="27"/>
      <c r="F111" s="27"/>
      <c r="G111" s="27"/>
      <c r="H111" s="59"/>
      <c r="I111" s="59"/>
      <c r="J111" s="61"/>
      <c r="K111" s="27"/>
    </row>
    <row r="112">
      <c r="A112" s="55" t="str">
        <f t="shared" si="1"/>
        <v/>
      </c>
      <c r="B112" s="62"/>
      <c r="C112" s="27"/>
      <c r="D112" s="27"/>
      <c r="E112" s="27"/>
      <c r="F112" s="27"/>
      <c r="G112" s="27"/>
      <c r="H112" s="59"/>
      <c r="I112" s="59"/>
      <c r="J112" s="61"/>
      <c r="K112" s="27"/>
    </row>
    <row r="113">
      <c r="A113" s="55" t="str">
        <f t="shared" si="1"/>
        <v/>
      </c>
      <c r="B113" s="62"/>
      <c r="C113" s="27"/>
      <c r="D113" s="27"/>
      <c r="E113" s="27"/>
      <c r="F113" s="27"/>
      <c r="G113" s="27"/>
      <c r="H113" s="59"/>
      <c r="I113" s="59"/>
      <c r="J113" s="61"/>
      <c r="K113" s="27"/>
    </row>
    <row r="114">
      <c r="A114" s="55" t="str">
        <f t="shared" si="1"/>
        <v/>
      </c>
      <c r="B114" s="62"/>
      <c r="C114" s="27"/>
      <c r="D114" s="27"/>
      <c r="E114" s="27"/>
      <c r="F114" s="27"/>
      <c r="G114" s="27"/>
      <c r="H114" s="59"/>
      <c r="I114" s="59"/>
      <c r="J114" s="61"/>
      <c r="K114" s="27"/>
    </row>
    <row r="115">
      <c r="A115" s="55" t="str">
        <f t="shared" si="1"/>
        <v/>
      </c>
      <c r="B115" s="62"/>
      <c r="C115" s="27"/>
      <c r="D115" s="27"/>
      <c r="E115" s="27"/>
      <c r="F115" s="27"/>
      <c r="G115" s="27"/>
      <c r="H115" s="59"/>
      <c r="I115" s="59"/>
      <c r="J115" s="61"/>
      <c r="K115" s="27"/>
    </row>
    <row r="116">
      <c r="A116" s="55" t="str">
        <f t="shared" si="1"/>
        <v/>
      </c>
      <c r="B116" s="62"/>
      <c r="C116" s="27"/>
      <c r="D116" s="27"/>
      <c r="E116" s="27"/>
      <c r="F116" s="27"/>
      <c r="G116" s="27"/>
      <c r="H116" s="59"/>
      <c r="I116" s="59"/>
      <c r="J116" s="61"/>
      <c r="K116" s="27"/>
    </row>
    <row r="117">
      <c r="A117" s="55" t="str">
        <f t="shared" si="1"/>
        <v/>
      </c>
      <c r="B117" s="62"/>
      <c r="C117" s="27"/>
      <c r="D117" s="27"/>
      <c r="E117" s="27"/>
      <c r="F117" s="27"/>
      <c r="G117" s="27"/>
      <c r="H117" s="59"/>
      <c r="I117" s="59"/>
      <c r="J117" s="61"/>
      <c r="K117" s="27"/>
    </row>
    <row r="118">
      <c r="A118" s="55" t="str">
        <f t="shared" si="1"/>
        <v/>
      </c>
      <c r="B118" s="62"/>
      <c r="C118" s="27"/>
      <c r="D118" s="27"/>
      <c r="E118" s="27"/>
      <c r="F118" s="27"/>
      <c r="G118" s="27"/>
      <c r="H118" s="59"/>
      <c r="I118" s="59"/>
      <c r="J118" s="61"/>
      <c r="K118" s="27"/>
    </row>
    <row r="119">
      <c r="A119" s="55" t="str">
        <f t="shared" si="1"/>
        <v/>
      </c>
      <c r="B119" s="62"/>
      <c r="C119" s="27"/>
      <c r="D119" s="27"/>
      <c r="E119" s="27"/>
      <c r="F119" s="27"/>
      <c r="G119" s="27"/>
      <c r="H119" s="59"/>
      <c r="I119" s="59"/>
      <c r="J119" s="61"/>
      <c r="K119" s="27"/>
    </row>
    <row r="120">
      <c r="A120" s="55" t="str">
        <f t="shared" si="1"/>
        <v/>
      </c>
      <c r="B120" s="62"/>
      <c r="C120" s="27"/>
      <c r="D120" s="27"/>
      <c r="E120" s="27"/>
      <c r="F120" s="27"/>
      <c r="G120" s="27"/>
      <c r="H120" s="59"/>
      <c r="I120" s="59"/>
      <c r="J120" s="61"/>
      <c r="K120" s="27"/>
    </row>
  </sheetData>
  <conditionalFormatting sqref="A2:K120">
    <cfRule type="expression" dxfId="1" priority="1" stopIfTrue="1">
      <formula>AND(ISNUMBER($I2), $I2=0)</formula>
    </cfRule>
  </conditionalFormatting>
  <dataValidations>
    <dataValidation type="list" allowBlank="1" showErrorMessage="1" sqref="C2:C120">
      <formula1>CreditList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5" width="18.88"/>
    <col customWidth="1" min="6" max="6" width="21.13"/>
    <col customWidth="1" min="7" max="7" width="69.75"/>
  </cols>
  <sheetData>
    <row r="1">
      <c r="A1" s="63" t="s">
        <v>636</v>
      </c>
      <c r="B1" s="64">
        <v>8400.0</v>
      </c>
      <c r="C1" s="65">
        <v>8400.0</v>
      </c>
      <c r="D1" s="64">
        <v>8400.0</v>
      </c>
      <c r="E1" s="65">
        <v>8400.0</v>
      </c>
      <c r="F1" s="66" t="s">
        <v>637</v>
      </c>
      <c r="G1" s="63" t="s">
        <v>638</v>
      </c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3"/>
      <c r="B2" s="68"/>
      <c r="C2" s="69"/>
      <c r="D2" s="68"/>
      <c r="E2" s="69"/>
      <c r="F2" s="70">
        <f>sum(26000+10000+4950+2657+1600+6332)-(2562.14+689-657)-125-1026.64</f>
        <v>47793.22</v>
      </c>
      <c r="G2" s="63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3" t="s">
        <v>639</v>
      </c>
      <c r="B3" s="64">
        <v>250.0</v>
      </c>
      <c r="C3" s="65">
        <v>250.0</v>
      </c>
      <c r="D3" s="64">
        <v>250.0</v>
      </c>
      <c r="E3" s="65">
        <v>250.0</v>
      </c>
      <c r="F3" s="63"/>
      <c r="G3" s="63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3"/>
      <c r="B4" s="68"/>
      <c r="C4" s="69"/>
      <c r="D4" s="68"/>
      <c r="E4" s="69"/>
      <c r="F4" s="63"/>
      <c r="G4" s="71" t="s">
        <v>640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3" t="s">
        <v>641</v>
      </c>
      <c r="B5" s="72">
        <v>3000.0</v>
      </c>
      <c r="C5" s="73">
        <v>3000.0</v>
      </c>
      <c r="D5" s="72">
        <v>3000.0</v>
      </c>
      <c r="E5" s="73">
        <v>3000.0</v>
      </c>
      <c r="F5" s="63"/>
      <c r="G5" s="63" t="s">
        <v>642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3"/>
      <c r="B6" s="68"/>
      <c r="C6" s="69"/>
      <c r="D6" s="68"/>
      <c r="E6" s="69"/>
      <c r="F6" s="63"/>
      <c r="G6" s="63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3" t="s">
        <v>643</v>
      </c>
      <c r="B7" s="72">
        <v>1500.0</v>
      </c>
      <c r="C7" s="65">
        <v>1500.0</v>
      </c>
      <c r="D7" s="64">
        <v>1500.0</v>
      </c>
      <c r="E7" s="65">
        <v>1500.0</v>
      </c>
      <c r="F7" s="63"/>
      <c r="G7" s="63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3"/>
      <c r="B8" s="68"/>
      <c r="C8" s="69"/>
      <c r="D8" s="68"/>
      <c r="E8" s="69"/>
      <c r="F8" s="63"/>
      <c r="G8" s="63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71" t="s">
        <v>644</v>
      </c>
      <c r="B9" s="72">
        <v>8251.0</v>
      </c>
      <c r="C9" s="73">
        <v>8251.0</v>
      </c>
      <c r="D9" s="72">
        <v>8251.0</v>
      </c>
      <c r="E9" s="73">
        <v>8251.0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3"/>
      <c r="B10" s="68"/>
      <c r="C10" s="69"/>
      <c r="D10" s="68"/>
      <c r="E10" s="69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3" t="s">
        <v>645</v>
      </c>
      <c r="B11" s="74">
        <v>700.0</v>
      </c>
      <c r="C11" s="75">
        <v>700.0</v>
      </c>
      <c r="D11" s="64">
        <v>700.0</v>
      </c>
      <c r="E11" s="65">
        <v>700.0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3"/>
      <c r="B12" s="68"/>
      <c r="C12" s="69"/>
      <c r="D12" s="68"/>
      <c r="E12" s="6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71" t="s">
        <v>646</v>
      </c>
      <c r="B13" s="74">
        <v>1100.0</v>
      </c>
      <c r="C13" s="75">
        <v>1100.0</v>
      </c>
      <c r="D13" s="64">
        <v>1100.0</v>
      </c>
      <c r="E13" s="65">
        <v>1100.0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71" t="s">
        <v>195</v>
      </c>
      <c r="B14" s="64">
        <v>50.0</v>
      </c>
      <c r="C14" s="75">
        <v>50.0</v>
      </c>
      <c r="D14" s="74">
        <v>50.0</v>
      </c>
      <c r="E14" s="75">
        <v>50.0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76" t="s">
        <v>647</v>
      </c>
      <c r="B15" s="77">
        <f t="shared" ref="B15:E15" si="1">SUM(B1:B14)</f>
        <v>23251</v>
      </c>
      <c r="C15" s="77">
        <f t="shared" si="1"/>
        <v>23251</v>
      </c>
      <c r="D15" s="77">
        <f t="shared" si="1"/>
        <v>23251</v>
      </c>
      <c r="E15" s="77">
        <f t="shared" si="1"/>
        <v>23251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78"/>
      <c r="C16" s="78"/>
      <c r="D16" s="78"/>
      <c r="E16" s="78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5" t="s">
        <v>648</v>
      </c>
      <c r="C17" s="65" t="s">
        <v>649</v>
      </c>
      <c r="D17" s="65" t="s">
        <v>650</v>
      </c>
      <c r="E17" s="65" t="s">
        <v>651</v>
      </c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73">
        <f>SUM(F2-B15)</f>
        <v>24542.22</v>
      </c>
      <c r="C18" s="73">
        <f>SUM(F2-C15)</f>
        <v>24542.22</v>
      </c>
      <c r="D18" s="73">
        <f>SUM(F2-D15)</f>
        <v>24542.22</v>
      </c>
      <c r="E18" s="73">
        <f>SUM(F2-E15)</f>
        <v>24542.22</v>
      </c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78"/>
      <c r="C19" s="78"/>
      <c r="D19" s="78"/>
      <c r="E19" s="78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79" t="s">
        <v>652</v>
      </c>
      <c r="B20" s="80">
        <f t="shared" ref="B20:E20" si="2">B18</f>
        <v>24542.22</v>
      </c>
      <c r="C20" s="80">
        <f t="shared" si="2"/>
        <v>24542.22</v>
      </c>
      <c r="D20" s="80">
        <f t="shared" si="2"/>
        <v>24542.22</v>
      </c>
      <c r="E20" s="80">
        <f t="shared" si="2"/>
        <v>24542.22</v>
      </c>
      <c r="F20" s="67"/>
      <c r="G20" s="81" t="s">
        <v>653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71" t="s">
        <v>654</v>
      </c>
      <c r="B21" s="72">
        <f t="shared" ref="B21:E21" si="3">SUM(B22:B32)-B20</f>
        <v>0</v>
      </c>
      <c r="C21" s="72">
        <f t="shared" si="3"/>
        <v>0</v>
      </c>
      <c r="D21" s="72">
        <f t="shared" si="3"/>
        <v>0</v>
      </c>
      <c r="E21" s="72">
        <f t="shared" si="3"/>
        <v>0</v>
      </c>
      <c r="F21" s="67"/>
      <c r="G21" s="63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71" t="s">
        <v>655</v>
      </c>
      <c r="B22" s="64">
        <v>3880.0</v>
      </c>
      <c r="C22" s="65">
        <v>3880.0</v>
      </c>
      <c r="D22" s="64"/>
      <c r="E22" s="65"/>
      <c r="F22" s="67"/>
      <c r="G22" s="82"/>
      <c r="H22" s="81" t="s">
        <v>656</v>
      </c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71" t="s">
        <v>657</v>
      </c>
      <c r="B23" s="64">
        <v>7112.22</v>
      </c>
      <c r="C23" s="65">
        <v>5000.0</v>
      </c>
      <c r="D23" s="64">
        <v>2000.0</v>
      </c>
      <c r="E23" s="65">
        <v>4000.0</v>
      </c>
      <c r="F23" s="67"/>
      <c r="G23" s="81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71" t="s">
        <v>658</v>
      </c>
      <c r="B24" s="64">
        <v>800.0</v>
      </c>
      <c r="C24" s="65">
        <v>500.0</v>
      </c>
      <c r="D24" s="64">
        <v>500.0</v>
      </c>
      <c r="E24" s="75">
        <v>600.0</v>
      </c>
      <c r="F24" s="67"/>
      <c r="G24" s="81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3" t="s">
        <v>659</v>
      </c>
      <c r="B25" s="64">
        <v>5000.0</v>
      </c>
      <c r="C25" s="65">
        <v>10412.22</v>
      </c>
      <c r="D25" s="64">
        <v>17292.22</v>
      </c>
      <c r="E25" s="65">
        <v>15192.22</v>
      </c>
      <c r="F25" s="67"/>
      <c r="G25" s="81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71" t="s">
        <v>660</v>
      </c>
      <c r="B26" s="64">
        <v>3000.0</v>
      </c>
      <c r="C26" s="65">
        <v>0.0</v>
      </c>
      <c r="D26" s="64">
        <v>0.0</v>
      </c>
      <c r="E26" s="65">
        <v>0.0</v>
      </c>
      <c r="F26" s="67"/>
      <c r="G26" s="81" t="s">
        <v>661</v>
      </c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3" t="s">
        <v>662</v>
      </c>
      <c r="B27" s="64">
        <v>2000.0</v>
      </c>
      <c r="C27" s="65">
        <v>2000.0</v>
      </c>
      <c r="D27" s="64">
        <v>2000.0</v>
      </c>
      <c r="E27" s="65">
        <v>2000.0</v>
      </c>
      <c r="F27" s="67"/>
      <c r="G27" s="81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71" t="s">
        <v>663</v>
      </c>
      <c r="B28" s="64">
        <v>0.0</v>
      </c>
      <c r="C28" s="65"/>
      <c r="D28" s="64"/>
      <c r="E28" s="65">
        <v>0.0</v>
      </c>
      <c r="F28" s="67"/>
      <c r="G28" s="81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71" t="s">
        <v>664</v>
      </c>
      <c r="B29" s="64">
        <v>750.0</v>
      </c>
      <c r="C29" s="65">
        <v>750.0</v>
      </c>
      <c r="D29" s="64">
        <v>750.0</v>
      </c>
      <c r="E29" s="65">
        <v>750.0</v>
      </c>
      <c r="F29" s="67"/>
      <c r="G29" s="81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71" t="s">
        <v>665</v>
      </c>
      <c r="B30" s="64">
        <v>2000.0</v>
      </c>
      <c r="C30" s="65">
        <v>2000.0</v>
      </c>
      <c r="D30" s="64">
        <v>2000.0</v>
      </c>
      <c r="E30" s="65">
        <v>2000.0</v>
      </c>
      <c r="F30" s="67"/>
      <c r="G30" s="81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71"/>
      <c r="B31" s="64"/>
      <c r="C31" s="65"/>
      <c r="D31" s="64"/>
      <c r="E31" s="65"/>
      <c r="F31" s="67"/>
      <c r="G31" s="81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71"/>
      <c r="B32" s="64"/>
      <c r="C32" s="65"/>
      <c r="D32" s="72"/>
      <c r="E32" s="73"/>
      <c r="F32" s="67"/>
      <c r="G32" s="81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83" t="s">
        <v>666</v>
      </c>
      <c r="B33" s="84">
        <f t="shared" ref="B33:E33" si="4">SUM(B22:B32)</f>
        <v>24542.22</v>
      </c>
      <c r="C33" s="84">
        <f t="shared" si="4"/>
        <v>24542.22</v>
      </c>
      <c r="D33" s="84">
        <f t="shared" si="4"/>
        <v>24542.22</v>
      </c>
      <c r="E33" s="84">
        <f t="shared" si="4"/>
        <v>24542.22</v>
      </c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/>
      <c r="C34" s="67"/>
      <c r="D34" s="67"/>
      <c r="E34" s="85"/>
      <c r="F34" s="67"/>
      <c r="G34" s="81" t="s">
        <v>667</v>
      </c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85"/>
      <c r="F35" s="67"/>
      <c r="G35" s="81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81"/>
      <c r="B36" s="67"/>
      <c r="C36" s="67"/>
      <c r="D36" s="67"/>
      <c r="E36" s="85"/>
      <c r="F36" s="67"/>
      <c r="G36" s="81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86" t="s">
        <v>668</v>
      </c>
      <c r="B37" s="87" t="s">
        <v>669</v>
      </c>
      <c r="C37" s="87" t="s">
        <v>670</v>
      </c>
      <c r="D37" s="87" t="s">
        <v>671</v>
      </c>
      <c r="E37" s="88" t="s">
        <v>672</v>
      </c>
      <c r="F37" s="67"/>
      <c r="G37" s="81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89">
        <v>1000.0</v>
      </c>
      <c r="B38" s="73">
        <f>A38*25%</f>
        <v>250</v>
      </c>
      <c r="C38" s="73">
        <f>A38*30%</f>
        <v>300</v>
      </c>
      <c r="D38" s="73">
        <f>A38*15%</f>
        <v>150</v>
      </c>
      <c r="E38" s="73">
        <f>A38*30%</f>
        <v>300</v>
      </c>
      <c r="F38" s="90"/>
      <c r="G38" s="81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67"/>
      <c r="D39" s="67"/>
      <c r="E39" s="85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67"/>
      <c r="D40" s="67"/>
      <c r="E40" s="85"/>
      <c r="F40" s="67"/>
      <c r="G40" s="81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67"/>
      <c r="D41" s="67"/>
      <c r="E41" s="85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85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67"/>
      <c r="D43" s="67"/>
      <c r="E43" s="85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81" t="s">
        <v>673</v>
      </c>
      <c r="B44" s="67"/>
      <c r="C44" s="67"/>
      <c r="D44" s="67"/>
      <c r="E44" s="85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81" t="s">
        <v>674</v>
      </c>
      <c r="B45" s="89"/>
      <c r="C45" s="81"/>
      <c r="D45" s="67"/>
      <c r="E45" s="85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81" t="s">
        <v>675</v>
      </c>
      <c r="B46" s="89"/>
      <c r="C46" s="81" t="s">
        <v>676</v>
      </c>
      <c r="D46" s="67"/>
      <c r="E46" s="85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81" t="s">
        <v>677</v>
      </c>
      <c r="B47" s="89">
        <v>20000.0</v>
      </c>
      <c r="C47" s="81"/>
      <c r="D47" s="67"/>
      <c r="E47" s="85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81" t="s">
        <v>678</v>
      </c>
      <c r="B48" s="89">
        <v>30000.0</v>
      </c>
      <c r="C48" s="81" t="s">
        <v>679</v>
      </c>
      <c r="D48" s="67"/>
      <c r="E48" s="85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81" t="s">
        <v>680</v>
      </c>
      <c r="B49" s="89">
        <v>16000.0</v>
      </c>
      <c r="C49" s="81" t="s">
        <v>681</v>
      </c>
      <c r="D49" s="67"/>
      <c r="E49" s="85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81" t="s">
        <v>601</v>
      </c>
      <c r="B50" s="89">
        <v>30000.0</v>
      </c>
      <c r="C50" s="81" t="s">
        <v>682</v>
      </c>
      <c r="D50" s="67"/>
      <c r="E50" s="85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81" t="s">
        <v>683</v>
      </c>
      <c r="B51" s="89">
        <v>9000.0</v>
      </c>
      <c r="C51" s="67"/>
      <c r="D51" s="67"/>
      <c r="E51" s="85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81" t="s">
        <v>684</v>
      </c>
      <c r="B52" s="89">
        <v>15000.0</v>
      </c>
      <c r="C52" s="67"/>
      <c r="D52" s="67"/>
      <c r="E52" s="85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91"/>
      <c r="C53" s="67"/>
      <c r="D53" s="67"/>
      <c r="E53" s="85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81" t="s">
        <v>666</v>
      </c>
      <c r="B54" s="78">
        <f>SUM(B45:B52)</f>
        <v>120000</v>
      </c>
      <c r="C54" s="67"/>
      <c r="D54" s="67"/>
      <c r="E54" s="85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92" t="s">
        <v>685</v>
      </c>
      <c r="B55" s="93">
        <v>120000.0</v>
      </c>
      <c r="C55" s="67"/>
      <c r="D55" s="67"/>
      <c r="E55" s="85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81" t="s">
        <v>686</v>
      </c>
      <c r="B56" s="78">
        <f>B55-B54</f>
        <v>0</v>
      </c>
      <c r="C56" s="81" t="s">
        <v>687</v>
      </c>
      <c r="D56" s="67"/>
      <c r="E56" s="85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85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67"/>
      <c r="D58" s="67"/>
      <c r="E58" s="85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67"/>
      <c r="D59" s="67"/>
      <c r="E59" s="85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67"/>
      <c r="D60" s="67"/>
      <c r="E60" s="85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94" t="s">
        <v>688</v>
      </c>
      <c r="B61" s="81" t="s">
        <v>689</v>
      </c>
      <c r="C61" s="67"/>
      <c r="D61" s="67"/>
      <c r="E61" s="85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67"/>
      <c r="D62" s="67"/>
      <c r="E62" s="85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C63" s="67"/>
      <c r="D63" s="67"/>
      <c r="E63" s="85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C64" s="67"/>
      <c r="D64" s="67"/>
      <c r="E64" s="85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81"/>
      <c r="B65" s="81"/>
      <c r="C65" s="67"/>
      <c r="D65" s="67"/>
      <c r="E65" s="85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81"/>
      <c r="B66" s="81"/>
      <c r="C66" s="67"/>
      <c r="D66" s="67"/>
      <c r="E66" s="85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81"/>
      <c r="B67" s="81"/>
      <c r="C67" s="67"/>
      <c r="D67" s="67"/>
      <c r="E67" s="85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81"/>
      <c r="B68" s="81"/>
      <c r="C68" s="67"/>
      <c r="D68" s="67"/>
      <c r="E68" s="85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85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81"/>
      <c r="B70" s="67"/>
      <c r="C70" s="67"/>
      <c r="D70" s="67"/>
      <c r="E70" s="85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67"/>
      <c r="D71" s="67"/>
      <c r="E71" s="85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67"/>
      <c r="D72" s="67"/>
      <c r="E72" s="85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67"/>
      <c r="D73" s="67"/>
      <c r="E73" s="85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67"/>
      <c r="D74" s="67"/>
      <c r="E74" s="85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67"/>
      <c r="D75" s="67"/>
      <c r="E75" s="85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67"/>
      <c r="D76" s="67"/>
      <c r="E76" s="85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67"/>
      <c r="D77" s="67"/>
      <c r="E77" s="85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67"/>
      <c r="D78" s="67"/>
      <c r="E78" s="85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67"/>
      <c r="D79" s="67"/>
      <c r="E79" s="85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67"/>
      <c r="D80" s="67"/>
      <c r="E80" s="85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67"/>
      <c r="D81" s="67"/>
      <c r="E81" s="85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85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85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85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85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85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85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85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85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85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85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85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85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85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85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85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85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85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85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85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85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85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85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85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85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85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85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85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85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85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85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85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85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85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85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85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85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85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85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85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85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85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85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85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85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85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85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85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85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85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85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85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85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85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85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85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85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85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85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85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85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85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85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85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85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85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85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85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85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85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85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85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85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85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85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85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85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85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85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85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85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85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85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85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85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85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85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85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85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85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85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85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85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85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85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85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85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85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85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85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85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85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85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85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85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85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85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85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85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85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85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85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85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85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85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85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85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85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85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85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85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85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85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85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85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85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85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85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85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85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85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85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85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85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85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85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85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85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85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85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85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85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85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85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85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85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85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85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85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85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85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85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85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85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85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85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85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85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85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85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85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85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85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85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85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85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85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85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85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85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85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85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85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85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85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85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85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85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85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85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85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85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85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85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85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85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85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85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85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85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85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85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85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85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85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85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85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85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85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85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85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85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85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85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85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85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85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85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85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85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85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85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85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85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85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85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85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85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85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85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85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85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85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85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85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85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85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85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85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85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85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85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85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85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85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85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85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85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85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85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85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85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85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85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85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85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85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85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85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85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85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85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85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85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85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85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85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85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85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85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85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85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85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85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85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85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85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85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85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85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85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85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85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85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85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85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85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85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85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85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85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85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85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85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85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85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85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85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85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85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85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85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85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85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85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85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85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85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85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85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85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85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85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85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85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85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85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85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85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85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85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85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85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85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85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85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85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85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85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85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85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85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85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85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85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85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85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85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85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85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85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85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85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85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85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85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85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85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85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85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85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85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85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85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85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85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85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85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85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85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85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85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85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85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85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85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85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85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85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85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85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85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85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85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85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85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85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85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85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85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85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85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85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85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85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85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85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85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85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85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85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85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85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85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85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85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85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85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85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85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85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85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85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85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85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85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85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85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85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85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85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85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85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85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85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85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85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85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85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85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85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85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85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85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85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85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85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85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85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85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85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85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85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85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85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85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85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85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85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85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85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85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85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85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85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85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85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85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85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85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85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85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85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85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85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85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85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85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85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85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85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85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85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85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85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85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85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85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85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85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85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85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85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85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85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85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85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85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85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85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85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85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85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85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85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85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85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85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85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85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85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85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85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85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85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85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85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85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85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85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85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85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85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85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85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85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85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85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85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85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85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85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85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85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85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85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85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85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85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85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85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85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85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85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85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85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85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85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85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85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85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85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85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85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85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85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85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85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85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85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85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85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85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85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85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85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85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85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85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85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85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85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85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85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85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85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85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85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85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85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85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85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85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85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85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85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85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85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85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85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85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85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85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85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85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85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85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85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85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85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85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85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85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85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85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85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85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85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85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85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85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85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85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85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85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85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85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85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85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85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85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85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85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85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85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85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85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85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85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85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85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85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85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85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85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85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85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85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85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85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85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85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85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85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85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85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85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85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85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85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85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85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85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85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85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85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85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85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85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85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85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85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85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85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85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85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85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85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85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85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85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85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85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85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85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85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85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85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85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85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85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85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85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85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85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85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85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85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85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85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85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85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85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85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85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85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85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85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85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85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85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85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85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85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85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85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85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85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85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85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85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85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85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85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85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85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85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85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85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85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85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85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85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85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85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85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85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85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85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85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85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85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85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85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85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85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85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85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85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85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85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85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85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85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85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85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85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85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85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85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85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85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85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85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85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85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85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85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85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85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85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85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85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85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85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85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85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85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85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85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85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85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85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85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85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85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85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85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85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85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85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85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85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85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85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85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85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85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85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85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85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85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85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85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85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85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85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85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85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85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85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85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85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85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85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85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85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85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85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85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85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85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85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85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85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85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85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85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85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85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85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85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85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85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85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85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85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85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85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85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85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85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85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85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85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85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85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85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85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85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85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85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85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85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85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85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85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85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85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85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85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85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85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85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85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85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85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85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85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85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85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85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85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85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85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85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85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85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85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85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85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85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85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85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85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85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85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85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85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85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85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85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85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85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85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85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85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85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85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85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85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85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85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85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85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85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85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85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85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85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85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85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85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85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85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85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85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85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85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85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85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85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85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85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85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85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85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85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85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85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85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85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85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85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85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85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85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85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85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85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85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85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85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85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85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85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85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85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85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85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85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85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85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85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85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17.5"/>
    <col customWidth="1" min="3" max="3" width="20.13"/>
    <col customWidth="1" min="4" max="4" width="23.63"/>
    <col customWidth="1" min="5" max="5" width="18.88"/>
    <col customWidth="1" min="6" max="6" width="19.5"/>
    <col customWidth="1" min="7" max="7" width="19.0"/>
    <col customWidth="1" min="8" max="8" width="19.63"/>
  </cols>
  <sheetData>
    <row r="1">
      <c r="A1" s="95" t="s">
        <v>690</v>
      </c>
      <c r="B1" s="96"/>
      <c r="C1" s="96"/>
      <c r="D1" s="96"/>
      <c r="E1" s="96"/>
      <c r="F1" s="96"/>
      <c r="G1" s="96"/>
      <c r="H1" s="97"/>
      <c r="I1" s="98"/>
      <c r="J1" s="98"/>
      <c r="K1" s="98"/>
      <c r="L1" s="98"/>
      <c r="M1" s="98"/>
      <c r="N1" s="98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100" t="s">
        <v>691</v>
      </c>
      <c r="B2" s="101">
        <v>2024.0</v>
      </c>
      <c r="C2" s="102">
        <f>C19</f>
        <v>95572.28</v>
      </c>
      <c r="D2" s="103">
        <v>2026.0</v>
      </c>
      <c r="E2" s="101">
        <v>2027.0</v>
      </c>
      <c r="F2" s="101">
        <v>2028.0</v>
      </c>
      <c r="G2" s="101">
        <v>2029.0</v>
      </c>
      <c r="H2" s="101">
        <v>2030.0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104" t="s">
        <v>692</v>
      </c>
      <c r="B3" s="105">
        <f t="shared" ref="B3:D3" si="1">B19</f>
        <v>83753.74</v>
      </c>
      <c r="C3" s="105">
        <f t="shared" si="1"/>
        <v>95572.28</v>
      </c>
      <c r="D3" s="106">
        <f t="shared" si="1"/>
        <v>109380.12</v>
      </c>
      <c r="E3" s="104"/>
      <c r="F3" s="104"/>
      <c r="G3" s="104"/>
      <c r="H3" s="99"/>
      <c r="I3" s="99"/>
      <c r="J3" s="107"/>
      <c r="K3" s="107"/>
      <c r="L3" s="107"/>
      <c r="M3" s="104"/>
      <c r="N3" s="104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108" t="s">
        <v>693</v>
      </c>
      <c r="B4" s="105">
        <f t="shared" ref="B4:D4" si="2">B34</f>
        <v>121535.29</v>
      </c>
      <c r="C4" s="105">
        <f t="shared" si="2"/>
        <v>129744.98</v>
      </c>
      <c r="D4" s="106">
        <f t="shared" si="2"/>
        <v>70404.37</v>
      </c>
      <c r="E4" s="104"/>
      <c r="F4" s="104"/>
      <c r="G4" s="104"/>
      <c r="H4" s="99"/>
      <c r="I4" s="99"/>
      <c r="J4" s="107"/>
      <c r="K4" s="107"/>
      <c r="L4" s="107"/>
      <c r="M4" s="104"/>
      <c r="N4" s="104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109"/>
      <c r="B5" s="110"/>
      <c r="C5" s="110"/>
      <c r="D5" s="110"/>
      <c r="E5" s="110"/>
      <c r="F5" s="110"/>
      <c r="G5" s="110"/>
      <c r="H5" s="111"/>
      <c r="I5" s="99"/>
      <c r="J5" s="107"/>
      <c r="K5" s="107"/>
      <c r="L5" s="107"/>
      <c r="M5" s="104"/>
      <c r="N5" s="104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112"/>
      <c r="H6" s="113"/>
      <c r="I6" s="99"/>
      <c r="J6" s="104"/>
      <c r="K6" s="104"/>
      <c r="L6" s="104"/>
      <c r="M6" s="104"/>
      <c r="N6" s="104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114" t="s">
        <v>694</v>
      </c>
      <c r="B7" s="115">
        <f>B14+B34</f>
        <v>193968.77</v>
      </c>
      <c r="C7" s="116">
        <f t="shared" ref="C7:D7" si="3">C14 + C34</f>
        <v>219375.57</v>
      </c>
      <c r="D7" s="117">
        <f t="shared" si="3"/>
        <v>168784.49</v>
      </c>
      <c r="E7" s="118"/>
      <c r="F7" s="118"/>
      <c r="G7" s="118"/>
      <c r="H7" s="118"/>
      <c r="I7" s="119"/>
      <c r="J7" s="119"/>
      <c r="K7" s="119"/>
      <c r="L7" s="119"/>
      <c r="M7" s="119"/>
      <c r="N7" s="11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120" t="s">
        <v>695</v>
      </c>
      <c r="B8" s="121">
        <f t="shared" ref="B8:D8" si="4">SUM(B3:B5)</f>
        <v>205289.03</v>
      </c>
      <c r="C8" s="116">
        <f t="shared" si="4"/>
        <v>225317.26</v>
      </c>
      <c r="D8" s="122">
        <f t="shared" si="4"/>
        <v>179784.49</v>
      </c>
      <c r="E8" s="123"/>
      <c r="F8" s="123"/>
      <c r="G8" s="123"/>
      <c r="H8" s="123"/>
      <c r="I8" s="124"/>
      <c r="J8" s="124"/>
      <c r="K8" s="124"/>
      <c r="L8" s="124"/>
      <c r="M8" s="124"/>
      <c r="N8" s="124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125"/>
      <c r="B9" s="96"/>
      <c r="C9" s="96"/>
      <c r="D9" s="96"/>
      <c r="E9" s="96"/>
      <c r="F9" s="96"/>
      <c r="G9" s="96"/>
      <c r="H9" s="97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125"/>
      <c r="B10" s="96"/>
      <c r="C10" s="96"/>
      <c r="D10" s="96"/>
      <c r="E10" s="96"/>
      <c r="F10" s="96"/>
      <c r="G10" s="96"/>
      <c r="H10" s="97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95" t="s">
        <v>696</v>
      </c>
      <c r="B11" s="96"/>
      <c r="C11" s="96"/>
      <c r="D11" s="96"/>
      <c r="E11" s="96"/>
      <c r="F11" s="96"/>
      <c r="G11" s="96"/>
      <c r="H11" s="97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100" t="s">
        <v>99</v>
      </c>
      <c r="B12" s="101" t="s">
        <v>697</v>
      </c>
      <c r="C12" s="126" t="s">
        <v>698</v>
      </c>
      <c r="D12" s="103" t="s">
        <v>699</v>
      </c>
      <c r="E12" s="101" t="s">
        <v>700</v>
      </c>
      <c r="F12" s="101" t="s">
        <v>701</v>
      </c>
      <c r="G12" s="101" t="s">
        <v>702</v>
      </c>
      <c r="H12" s="101" t="s">
        <v>703</v>
      </c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104" t="s">
        <v>704</v>
      </c>
      <c r="B13" s="73">
        <v>262.27</v>
      </c>
      <c r="C13" s="65">
        <v>1000.0</v>
      </c>
      <c r="D13" s="127">
        <f>SUM(C13, SUMIF('Contigency Reserve'!C:C, "mbk_2026", 'Contigency Reserve'!D:D) - SUMIF('Contigency Reserve'!C:C, "mbk_2026", 'Contigency Reserve'!E:E) + SUMIF('Contigency Reserve'!C:C, "mbk_2026", 'Contigency Reserve'!F:F))</f>
        <v>1000</v>
      </c>
      <c r="E13" s="108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104" t="s">
        <v>705</v>
      </c>
      <c r="B14" s="73">
        <v>72433.48</v>
      </c>
      <c r="C14" s="65">
        <v>89630.59</v>
      </c>
      <c r="D14" s="127">
        <f>SUM(C14, SUMIF('Contigency Reserve'!C:C, "kept_2026", 'Contigency Reserve'!D:D) - SUMIF('Contigency Reserve'!C:C, "kept_2026", 'Contigency Reserve'!E:E) + SUMIF('Contigency Reserve'!C:C, "kept_2026", 'Contigency Reserve'!F:F))</f>
        <v>98380.12</v>
      </c>
      <c r="E14" s="108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104" t="s">
        <v>706</v>
      </c>
      <c r="B15" s="73">
        <v>1057.99</v>
      </c>
      <c r="C15" s="73">
        <f>SUM(B15, SUMIF('Contigency Reserve'!C:D, "blb_2025", 'Contigency Reserve'!D:D) - SUMIF('Contigency Reserve'!C:D, "blb_2025", 'Contigency Reserve'!E:E) + SUMIF('Contigency Reserve'!C:D, "blb_2025", 'Contigency Reserve'!F:F))</f>
        <v>1000</v>
      </c>
      <c r="D15" s="127">
        <f>SUM(C15, SUMIF('Contigency Reserve'!C:C, "blb_2026", 'Contigency Reserve'!D:D) - SUMIF('Contigency Reserve'!C:C, "blb_2026", 'Contigency Reserve'!E:E) + SUMIF('Contigency Reserve'!C:C, "blb_2026", 'Contigency Reserve'!F:F))</f>
        <v>0</v>
      </c>
      <c r="E15" s="108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104" t="s">
        <v>707</v>
      </c>
      <c r="B16" s="73">
        <v>10000.0</v>
      </c>
      <c r="C16" s="65">
        <v>3941.69</v>
      </c>
      <c r="D16" s="127">
        <f>SUM(C16, SUMIF('Contigency Reserve'!C:C, "dime_2026", 'Contigency Reserve'!D:D) - SUMIF('Contigency Reserve'!C:C, "dime_2026", 'Contigency Reserve'!E:E) + SUMIF('Contigency Reserve'!C:C, "dime_2026", 'Contigency Reserve'!F:F))</f>
        <v>10000</v>
      </c>
      <c r="E16" s="108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128"/>
      <c r="B17" s="110"/>
      <c r="C17" s="110"/>
      <c r="D17" s="110"/>
      <c r="E17" s="110"/>
      <c r="F17" s="110"/>
      <c r="G17" s="110"/>
      <c r="H17" s="111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129"/>
      <c r="B18" s="130"/>
      <c r="C18" s="130"/>
      <c r="D18" s="130"/>
      <c r="E18" s="130"/>
      <c r="F18" s="130"/>
      <c r="G18" s="130"/>
      <c r="H18" s="131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132" t="s">
        <v>708</v>
      </c>
      <c r="B19" s="133">
        <f t="shared" ref="B19:D19" si="5">SUM(B13:B18)</f>
        <v>83753.74</v>
      </c>
      <c r="C19" s="133">
        <f t="shared" si="5"/>
        <v>95572.28</v>
      </c>
      <c r="D19" s="134">
        <f t="shared" si="5"/>
        <v>109380.12</v>
      </c>
      <c r="E19" s="133"/>
      <c r="F19" s="133"/>
      <c r="G19" s="133"/>
      <c r="H19" s="133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>
      <c r="A20" s="125"/>
      <c r="B20" s="96"/>
      <c r="C20" s="96"/>
      <c r="D20" s="96"/>
      <c r="E20" s="96"/>
      <c r="F20" s="96"/>
      <c r="G20" s="96"/>
      <c r="H20" s="97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>
      <c r="A21" s="125"/>
      <c r="B21" s="96"/>
      <c r="C21" s="96"/>
      <c r="D21" s="96"/>
      <c r="E21" s="96"/>
      <c r="F21" s="96"/>
      <c r="G21" s="96"/>
      <c r="H21" s="97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>
      <c r="A22" s="95" t="s">
        <v>693</v>
      </c>
      <c r="B22" s="96"/>
      <c r="C22" s="96"/>
      <c r="D22" s="96"/>
      <c r="E22" s="96"/>
      <c r="F22" s="96"/>
      <c r="G22" s="96"/>
      <c r="H22" s="97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>
      <c r="A23" s="100" t="s">
        <v>709</v>
      </c>
      <c r="B23" s="101">
        <v>2024.0</v>
      </c>
      <c r="C23" s="101">
        <v>2025.0</v>
      </c>
      <c r="D23" s="101">
        <v>2026.0</v>
      </c>
      <c r="E23" s="101">
        <v>2027.0</v>
      </c>
      <c r="F23" s="101">
        <v>2028.0</v>
      </c>
      <c r="G23" s="101">
        <v>2029.0</v>
      </c>
      <c r="H23" s="101">
        <v>2030.0</v>
      </c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>
      <c r="A24" s="104" t="s">
        <v>471</v>
      </c>
      <c r="B24" s="73">
        <v>22260.01</v>
      </c>
      <c r="C24" s="65">
        <v>17340.06</v>
      </c>
      <c r="D24" s="127">
        <f>SUM(C24,SUMIF('Hold for pay'!C:C, "tax_2026", 'Hold for pay'!D:D)-SUMIF('Hold for pay'!C:C, "tax_2026", 'Hold for pay'!E:E))</f>
        <v>13008.06</v>
      </c>
      <c r="E24" s="104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>
      <c r="A25" s="104" t="s">
        <v>710</v>
      </c>
      <c r="B25" s="73">
        <v>6000.0</v>
      </c>
      <c r="C25" s="65">
        <v>8000.0</v>
      </c>
      <c r="D25" s="127">
        <f>SUM(C25,SUMIF('Hold for pay'!C:C, "sl_2026", 'Hold for pay'!D:D)-SUMIF('Hold for pay'!C:C, "sl_2026", 'Hold for pay'!E:E))</f>
        <v>8000</v>
      </c>
      <c r="E25" s="104"/>
      <c r="F25" s="99"/>
      <c r="G25" s="99"/>
      <c r="H25" s="99"/>
      <c r="I25" s="135" t="s">
        <v>711</v>
      </c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>
      <c r="A26" s="108" t="s">
        <v>159</v>
      </c>
      <c r="B26" s="73">
        <v>32084.6</v>
      </c>
      <c r="C26" s="65">
        <v>30736.87</v>
      </c>
      <c r="D26" s="127">
        <f>SUM(C26,SUMIF('Hold for pay'!C:C, "travel_2026", 'Hold for pay'!D:D)-SUMIF('Hold for pay'!C:C, "travel_2026", 'Hold for pay'!E:E))</f>
        <v>11364.81</v>
      </c>
      <c r="E26" s="104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>
      <c r="A27" s="108" t="s">
        <v>712</v>
      </c>
      <c r="B27" s="73">
        <v>35665.17</v>
      </c>
      <c r="C27" s="65">
        <v>24601.97</v>
      </c>
      <c r="D27" s="127">
        <f>SUM(C27,SUMIF('Hold for pay'!C:C, "car_2026", 'Hold for pay'!D:D)-SUMIF('Hold for pay'!C:C, "car_2026", 'Hold for pay'!E:E))</f>
        <v>14789.32</v>
      </c>
      <c r="E27" s="104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>
      <c r="A28" s="104" t="s">
        <v>713</v>
      </c>
      <c r="B28" s="73">
        <v>25525.51</v>
      </c>
      <c r="C28" s="65">
        <v>43068.08</v>
      </c>
      <c r="D28" s="127">
        <f>SUM(C28,SUMIF('Hold for pay'!C:C, "bigthin_2026", 'Hold for pay'!D:D)-SUMIF('Hold for pay'!C:C, "bigthin_2026", 'Hold for pay'!E:E))</f>
        <v>3494.18</v>
      </c>
      <c r="E28" s="104"/>
      <c r="F28" s="99"/>
      <c r="G28" s="99"/>
      <c r="H28" s="99"/>
      <c r="I28" s="135" t="s">
        <v>714</v>
      </c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>
      <c r="A29" s="104" t="s">
        <v>715</v>
      </c>
      <c r="B29" s="73">
        <v>0.0</v>
      </c>
      <c r="C29" s="65">
        <v>284.0</v>
      </c>
      <c r="D29" s="127">
        <f>SUM(C29,SUMIF('Hold for pay'!C:C, "learn_2026", 'Hold for pay'!D:D)-SUMIF('Hold for pay'!C:C, "learn_2026", 'Hold for pay'!E:E))</f>
        <v>284</v>
      </c>
      <c r="E29" s="104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>
      <c r="A30" s="108" t="s">
        <v>716</v>
      </c>
      <c r="B30" s="65">
        <v>0.0</v>
      </c>
      <c r="C30" s="65">
        <v>1964.0</v>
      </c>
      <c r="D30" s="127">
        <f>SUM(C30,SUMIF('Hold for pay'!C:C, "insure_2026", 'Hold for pay'!D:D)-SUMIF('Hold for pay'!C:C, "insure_2026", 'Hold for pay'!E:E))</f>
        <v>11964</v>
      </c>
      <c r="E30" s="104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>
      <c r="A31" s="135" t="s">
        <v>717</v>
      </c>
      <c r="B31" s="65">
        <v>0.0</v>
      </c>
      <c r="C31" s="65">
        <v>3750.0</v>
      </c>
      <c r="D31" s="127">
        <f>SUM(C31,SUMIF('Hold for pay'!C:C, "sub_2026", 'Hold for pay'!D:D)-SUMIF('Hold for pay'!C:C, "sub_2026", 'Hold for pay'!E:E))</f>
        <v>7500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>
      <c r="A32" s="128"/>
      <c r="B32" s="110"/>
      <c r="C32" s="110"/>
      <c r="D32" s="110"/>
      <c r="E32" s="110"/>
      <c r="F32" s="110"/>
      <c r="G32" s="110"/>
      <c r="H32" s="111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>
      <c r="A33" s="129"/>
      <c r="B33" s="130"/>
      <c r="C33" s="130"/>
      <c r="D33" s="130"/>
      <c r="E33" s="130"/>
      <c r="F33" s="130"/>
      <c r="G33" s="130"/>
      <c r="H33" s="131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>
      <c r="A34" s="132" t="s">
        <v>708</v>
      </c>
      <c r="B34" s="133">
        <f t="shared" ref="B34:D34" si="6">SUM(B24:B33)</f>
        <v>121535.29</v>
      </c>
      <c r="C34" s="133">
        <f t="shared" si="6"/>
        <v>129744.98</v>
      </c>
      <c r="D34" s="134">
        <f t="shared" si="6"/>
        <v>70404.37</v>
      </c>
      <c r="E34" s="133"/>
      <c r="F34" s="133"/>
      <c r="G34" s="133"/>
      <c r="H34" s="133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  <row r="1001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</row>
    <row r="1002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</row>
  </sheetData>
  <mergeCells count="10">
    <mergeCell ref="A21:H21"/>
    <mergeCell ref="A22:H22"/>
    <mergeCell ref="A32:H33"/>
    <mergeCell ref="A1:H1"/>
    <mergeCell ref="A5:H6"/>
    <mergeCell ref="A9:H9"/>
    <mergeCell ref="A10:H10"/>
    <mergeCell ref="A11:H11"/>
    <mergeCell ref="A17:H18"/>
    <mergeCell ref="A20:H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63"/>
    <col customWidth="1" min="2" max="2" width="18.5"/>
    <col customWidth="1" min="3" max="3" width="19.88"/>
    <col customWidth="1" min="4" max="4" width="18.75"/>
    <col customWidth="1" min="5" max="5" width="18.5"/>
    <col customWidth="1" min="6" max="6" width="41.0"/>
    <col customWidth="1" min="7" max="7" width="15.5"/>
  </cols>
  <sheetData>
    <row r="1">
      <c r="A1" s="136" t="s">
        <v>691</v>
      </c>
      <c r="B1" s="137" t="s">
        <v>0</v>
      </c>
      <c r="C1" s="136" t="s">
        <v>718</v>
      </c>
      <c r="D1" s="138" t="s">
        <v>719</v>
      </c>
      <c r="E1" s="139" t="s">
        <v>720</v>
      </c>
      <c r="F1" s="67"/>
      <c r="G1" s="81" t="s">
        <v>620</v>
      </c>
    </row>
    <row r="2">
      <c r="A2" s="81"/>
      <c r="B2" s="140"/>
      <c r="C2" s="141"/>
      <c r="D2" s="142"/>
      <c r="E2" s="143"/>
      <c r="F2" s="81"/>
      <c r="G2" s="81"/>
    </row>
    <row r="3">
      <c r="A3" s="81"/>
      <c r="B3" s="140"/>
      <c r="C3" s="141"/>
      <c r="D3" s="142"/>
      <c r="E3" s="143"/>
      <c r="F3" s="81"/>
      <c r="G3" s="81"/>
    </row>
    <row r="4">
      <c r="A4" s="81"/>
      <c r="B4" s="140"/>
      <c r="C4" s="141"/>
      <c r="D4" s="142"/>
      <c r="E4" s="143"/>
      <c r="F4" s="81"/>
      <c r="G4" s="81"/>
    </row>
    <row r="5">
      <c r="A5" s="81"/>
      <c r="B5" s="140"/>
      <c r="C5" s="141"/>
      <c r="D5" s="142"/>
      <c r="E5" s="143"/>
      <c r="F5" s="81"/>
      <c r="G5" s="81"/>
    </row>
    <row r="6">
      <c r="A6" s="81" t="s">
        <v>721</v>
      </c>
      <c r="B6" s="140">
        <v>46186.0</v>
      </c>
      <c r="C6" s="141" t="s">
        <v>722</v>
      </c>
      <c r="D6" s="142"/>
      <c r="E6" s="143"/>
      <c r="F6" s="81">
        <v>354.0</v>
      </c>
      <c r="G6" s="81" t="s">
        <v>723</v>
      </c>
    </row>
    <row r="7">
      <c r="A7" s="81" t="s">
        <v>724</v>
      </c>
      <c r="B7" s="140">
        <v>46187.0</v>
      </c>
      <c r="C7" s="141" t="s">
        <v>725</v>
      </c>
      <c r="D7" s="142"/>
      <c r="E7" s="143">
        <v>12808.0</v>
      </c>
      <c r="F7" s="81"/>
      <c r="G7" s="81"/>
    </row>
    <row r="8">
      <c r="A8" s="81" t="s">
        <v>726</v>
      </c>
      <c r="B8" s="140">
        <v>46183.0</v>
      </c>
      <c r="C8" s="141" t="s">
        <v>722</v>
      </c>
      <c r="D8" s="142"/>
      <c r="E8" s="143">
        <v>429.0</v>
      </c>
      <c r="F8" s="81">
        <v>429.0</v>
      </c>
      <c r="G8" s="81" t="s">
        <v>723</v>
      </c>
    </row>
    <row r="9">
      <c r="A9" s="81" t="s">
        <v>727</v>
      </c>
      <c r="B9" s="140">
        <v>46183.0</v>
      </c>
      <c r="C9" s="141" t="s">
        <v>722</v>
      </c>
      <c r="D9" s="142"/>
      <c r="E9" s="143"/>
      <c r="F9" s="81">
        <v>792.0</v>
      </c>
      <c r="G9" s="81" t="s">
        <v>728</v>
      </c>
    </row>
    <row r="10">
      <c r="A10" s="81" t="s">
        <v>729</v>
      </c>
      <c r="B10" s="140">
        <v>46179.0</v>
      </c>
      <c r="C10" s="141" t="s">
        <v>722</v>
      </c>
      <c r="D10" s="142"/>
      <c r="E10" s="143">
        <v>509.0</v>
      </c>
      <c r="F10" s="81">
        <v>509.0</v>
      </c>
      <c r="G10" s="81" t="s">
        <v>723</v>
      </c>
    </row>
    <row r="11">
      <c r="A11" s="81" t="s">
        <v>730</v>
      </c>
      <c r="B11" s="140">
        <v>46178.0</v>
      </c>
      <c r="C11" s="141" t="s">
        <v>722</v>
      </c>
      <c r="D11" s="142"/>
      <c r="E11" s="143"/>
      <c r="F11" s="81">
        <v>1379.0</v>
      </c>
      <c r="G11" s="81" t="s">
        <v>728</v>
      </c>
    </row>
    <row r="12">
      <c r="A12" s="81" t="s">
        <v>731</v>
      </c>
      <c r="B12" s="140">
        <v>46176.0</v>
      </c>
      <c r="C12" s="141" t="s">
        <v>722</v>
      </c>
      <c r="D12" s="142"/>
      <c r="E12" s="143">
        <v>1074.91</v>
      </c>
      <c r="F12" s="81">
        <v>1074.91</v>
      </c>
      <c r="G12" s="81" t="s">
        <v>723</v>
      </c>
    </row>
    <row r="13">
      <c r="A13" s="81" t="s">
        <v>732</v>
      </c>
      <c r="B13" s="140">
        <v>46176.0</v>
      </c>
      <c r="C13" s="141" t="s">
        <v>722</v>
      </c>
      <c r="D13" s="142"/>
      <c r="E13" s="143">
        <v>1153.0</v>
      </c>
      <c r="F13" s="81">
        <v>1153.0</v>
      </c>
      <c r="G13" s="81" t="s">
        <v>723</v>
      </c>
    </row>
    <row r="14">
      <c r="A14" s="81" t="s">
        <v>733</v>
      </c>
      <c r="B14" s="140">
        <v>46176.0</v>
      </c>
      <c r="C14" s="141" t="s">
        <v>722</v>
      </c>
      <c r="D14" s="142">
        <v>2000.0</v>
      </c>
      <c r="E14" s="143">
        <v>2000.0</v>
      </c>
      <c r="F14" s="81"/>
      <c r="G14" s="81"/>
    </row>
    <row r="15">
      <c r="A15" s="81" t="s">
        <v>734</v>
      </c>
      <c r="B15" s="140">
        <v>46176.0</v>
      </c>
      <c r="C15" s="141" t="s">
        <v>735</v>
      </c>
      <c r="D15" s="142">
        <v>427.0</v>
      </c>
      <c r="E15" s="143"/>
      <c r="F15" s="81"/>
      <c r="G15" s="81"/>
    </row>
    <row r="16">
      <c r="A16" s="81" t="s">
        <v>736</v>
      </c>
      <c r="B16" s="140">
        <v>46176.0</v>
      </c>
      <c r="C16" s="141" t="s">
        <v>722</v>
      </c>
      <c r="D16" s="142"/>
      <c r="E16" s="143">
        <v>145.0</v>
      </c>
      <c r="F16" s="81"/>
      <c r="G16" s="81"/>
    </row>
    <row r="17">
      <c r="A17" s="81" t="s">
        <v>737</v>
      </c>
      <c r="B17" s="140">
        <v>46176.0</v>
      </c>
      <c r="C17" s="141" t="s">
        <v>722</v>
      </c>
      <c r="D17" s="142"/>
      <c r="E17" s="143">
        <v>225.0</v>
      </c>
      <c r="F17" s="81"/>
      <c r="G17" s="81"/>
    </row>
    <row r="18">
      <c r="A18" s="81" t="s">
        <v>738</v>
      </c>
      <c r="B18" s="140">
        <v>46176.0</v>
      </c>
      <c r="C18" s="141" t="s">
        <v>722</v>
      </c>
      <c r="D18" s="142"/>
      <c r="E18" s="143">
        <v>557.0</v>
      </c>
      <c r="F18" s="81"/>
      <c r="G18" s="81"/>
    </row>
    <row r="19">
      <c r="A19" s="81" t="s">
        <v>739</v>
      </c>
      <c r="B19" s="140">
        <v>46174.0</v>
      </c>
      <c r="C19" s="141" t="s">
        <v>735</v>
      </c>
      <c r="D19" s="142"/>
      <c r="E19" s="143">
        <v>4388.0</v>
      </c>
      <c r="F19" s="81"/>
      <c r="G19" s="81"/>
    </row>
    <row r="20">
      <c r="A20" s="81" t="s">
        <v>734</v>
      </c>
      <c r="B20" s="140">
        <v>46168.0</v>
      </c>
      <c r="C20" s="141" t="s">
        <v>735</v>
      </c>
      <c r="D20" s="142">
        <v>570.0</v>
      </c>
      <c r="E20" s="143"/>
      <c r="F20" s="81"/>
      <c r="G20" s="81"/>
    </row>
    <row r="21">
      <c r="A21" s="81" t="s">
        <v>740</v>
      </c>
      <c r="B21" s="140">
        <v>46168.0</v>
      </c>
      <c r="C21" s="141" t="s">
        <v>722</v>
      </c>
      <c r="D21" s="142">
        <v>2222.0</v>
      </c>
      <c r="E21" s="143"/>
      <c r="F21" s="81" t="s">
        <v>741</v>
      </c>
      <c r="G21" s="81" t="s">
        <v>728</v>
      </c>
    </row>
    <row r="22">
      <c r="A22" s="81" t="s">
        <v>742</v>
      </c>
      <c r="B22" s="140">
        <v>46167.0</v>
      </c>
      <c r="C22" s="141" t="s">
        <v>743</v>
      </c>
      <c r="D22" s="142">
        <v>2000.0</v>
      </c>
      <c r="E22" s="143"/>
      <c r="F22" s="81"/>
      <c r="G22" s="81"/>
    </row>
    <row r="23">
      <c r="A23" s="81" t="s">
        <v>744</v>
      </c>
      <c r="B23" s="140">
        <v>46167.0</v>
      </c>
      <c r="C23" s="141" t="s">
        <v>745</v>
      </c>
      <c r="D23" s="142">
        <v>750.0</v>
      </c>
      <c r="E23" s="143"/>
      <c r="F23" s="81"/>
      <c r="G23" s="81"/>
    </row>
    <row r="24">
      <c r="A24" s="81" t="s">
        <v>746</v>
      </c>
      <c r="B24" s="140">
        <v>46167.0</v>
      </c>
      <c r="C24" s="141" t="s">
        <v>725</v>
      </c>
      <c r="D24" s="142">
        <v>2000.0</v>
      </c>
      <c r="E24" s="143"/>
      <c r="F24" s="81"/>
      <c r="G24" s="81"/>
    </row>
    <row r="25">
      <c r="A25" s="81" t="s">
        <v>747</v>
      </c>
      <c r="B25" s="140">
        <v>46167.0</v>
      </c>
      <c r="C25" s="141" t="s">
        <v>735</v>
      </c>
      <c r="D25" s="142">
        <v>800.0</v>
      </c>
      <c r="E25" s="143"/>
      <c r="F25" s="81"/>
      <c r="G25" s="81"/>
    </row>
    <row r="26">
      <c r="A26" s="81" t="s">
        <v>748</v>
      </c>
      <c r="B26" s="140">
        <v>46167.0</v>
      </c>
      <c r="C26" s="141" t="s">
        <v>722</v>
      </c>
      <c r="D26" s="142">
        <v>7112.22</v>
      </c>
      <c r="E26" s="143"/>
      <c r="F26" s="81"/>
      <c r="G26" s="81"/>
    </row>
    <row r="27">
      <c r="A27" s="81" t="s">
        <v>749</v>
      </c>
      <c r="B27" s="140">
        <v>46163.0</v>
      </c>
      <c r="C27" s="141" t="s">
        <v>722</v>
      </c>
      <c r="D27" s="142"/>
      <c r="E27" s="143">
        <v>389.0</v>
      </c>
      <c r="F27" s="81"/>
      <c r="G27" s="81"/>
    </row>
    <row r="28">
      <c r="A28" s="81" t="s">
        <v>750</v>
      </c>
      <c r="B28" s="140">
        <v>46164.0</v>
      </c>
      <c r="C28" s="141" t="s">
        <v>722</v>
      </c>
      <c r="D28" s="142"/>
      <c r="E28" s="143">
        <v>1000.0</v>
      </c>
      <c r="F28" s="81"/>
      <c r="G28" s="81"/>
    </row>
    <row r="29">
      <c r="A29" s="81" t="s">
        <v>751</v>
      </c>
      <c r="B29" s="140">
        <v>46163.0</v>
      </c>
      <c r="C29" s="141" t="s">
        <v>722</v>
      </c>
      <c r="D29" s="142"/>
      <c r="E29" s="143">
        <v>1000.0</v>
      </c>
      <c r="F29" s="81"/>
      <c r="G29" s="81"/>
    </row>
    <row r="30">
      <c r="A30" s="81" t="s">
        <v>752</v>
      </c>
      <c r="B30" s="140">
        <v>46162.0</v>
      </c>
      <c r="C30" s="141" t="s">
        <v>722</v>
      </c>
      <c r="D30" s="142"/>
      <c r="E30" s="143">
        <v>1000.0</v>
      </c>
      <c r="F30" s="81"/>
      <c r="G30" s="81"/>
    </row>
    <row r="31">
      <c r="A31" s="81" t="s">
        <v>753</v>
      </c>
      <c r="B31" s="140">
        <v>46160.0</v>
      </c>
      <c r="C31" s="141" t="s">
        <v>722</v>
      </c>
      <c r="D31" s="142"/>
      <c r="E31" s="143">
        <v>1000.0</v>
      </c>
      <c r="F31" s="81"/>
      <c r="G31" s="81"/>
    </row>
    <row r="32">
      <c r="A32" s="81" t="s">
        <v>754</v>
      </c>
      <c r="B32" s="140">
        <v>46162.0</v>
      </c>
      <c r="C32" s="141" t="s">
        <v>722</v>
      </c>
      <c r="D32" s="142"/>
      <c r="E32" s="143">
        <v>1000.0</v>
      </c>
      <c r="F32" s="81"/>
      <c r="G32" s="81"/>
    </row>
    <row r="33">
      <c r="A33" s="81" t="s">
        <v>755</v>
      </c>
      <c r="B33" s="140">
        <v>46163.0</v>
      </c>
      <c r="C33" s="141" t="s">
        <v>722</v>
      </c>
      <c r="D33" s="142"/>
      <c r="E33" s="143"/>
      <c r="F33" s="81" t="s">
        <v>756</v>
      </c>
      <c r="G33" s="81" t="s">
        <v>728</v>
      </c>
    </row>
    <row r="34">
      <c r="A34" s="81" t="s">
        <v>757</v>
      </c>
      <c r="B34" s="140">
        <v>46163.0</v>
      </c>
      <c r="C34" s="141" t="s">
        <v>722</v>
      </c>
      <c r="D34" s="142"/>
      <c r="E34" s="143">
        <v>1000.0</v>
      </c>
      <c r="F34" s="81"/>
      <c r="G34" s="81"/>
    </row>
    <row r="35">
      <c r="A35" s="81" t="s">
        <v>758</v>
      </c>
      <c r="B35" s="140">
        <v>46162.0</v>
      </c>
      <c r="C35" s="141" t="s">
        <v>722</v>
      </c>
      <c r="D35" s="142"/>
      <c r="E35" s="143">
        <v>300.0</v>
      </c>
      <c r="F35" s="81"/>
      <c r="G35" s="81"/>
    </row>
    <row r="36">
      <c r="A36" s="81" t="s">
        <v>759</v>
      </c>
      <c r="B36" s="140">
        <v>46162.0</v>
      </c>
      <c r="C36" s="141" t="s">
        <v>722</v>
      </c>
      <c r="D36" s="142"/>
      <c r="E36" s="143">
        <v>370.0</v>
      </c>
      <c r="F36" s="81"/>
      <c r="G36" s="81"/>
    </row>
    <row r="37">
      <c r="A37" s="81" t="s">
        <v>760</v>
      </c>
      <c r="B37" s="140">
        <v>46161.0</v>
      </c>
      <c r="C37" s="141" t="s">
        <v>722</v>
      </c>
      <c r="D37" s="142"/>
      <c r="E37" s="143">
        <v>770.0</v>
      </c>
      <c r="F37" s="81"/>
      <c r="G37" s="81"/>
    </row>
    <row r="38">
      <c r="A38" s="81" t="s">
        <v>761</v>
      </c>
      <c r="B38" s="140">
        <v>46161.0</v>
      </c>
      <c r="C38" s="141" t="s">
        <v>722</v>
      </c>
      <c r="D38" s="142"/>
      <c r="E38" s="143">
        <v>420.0</v>
      </c>
      <c r="F38" s="81"/>
      <c r="G38" s="81"/>
    </row>
    <row r="39">
      <c r="A39" s="81" t="s">
        <v>762</v>
      </c>
      <c r="B39" s="140">
        <v>46160.0</v>
      </c>
      <c r="C39" s="141" t="s">
        <v>722</v>
      </c>
      <c r="D39" s="142"/>
      <c r="E39" s="143">
        <f>236.89+110</f>
        <v>346.89</v>
      </c>
      <c r="F39" s="81"/>
      <c r="G39" s="81"/>
    </row>
    <row r="40">
      <c r="A40" s="81" t="s">
        <v>763</v>
      </c>
      <c r="B40" s="140">
        <v>46160.0</v>
      </c>
      <c r="C40" s="141" t="s">
        <v>722</v>
      </c>
      <c r="D40" s="142"/>
      <c r="E40" s="143">
        <v>900.0</v>
      </c>
      <c r="F40" s="81"/>
      <c r="G40" s="81"/>
    </row>
    <row r="41">
      <c r="A41" s="81" t="s">
        <v>764</v>
      </c>
      <c r="B41" s="140">
        <v>46159.0</v>
      </c>
      <c r="C41" s="141" t="s">
        <v>722</v>
      </c>
      <c r="D41" s="142"/>
      <c r="E41" s="143">
        <v>2000.0</v>
      </c>
      <c r="F41" s="81"/>
      <c r="G41" s="81"/>
    </row>
    <row r="42">
      <c r="A42" s="81" t="s">
        <v>765</v>
      </c>
      <c r="B42" s="140">
        <v>46158.0</v>
      </c>
      <c r="C42" s="141" t="s">
        <v>722</v>
      </c>
      <c r="D42" s="142"/>
      <c r="E42" s="143">
        <v>250.0</v>
      </c>
      <c r="F42" s="81"/>
      <c r="G42" s="81"/>
    </row>
    <row r="43">
      <c r="A43" s="81" t="s">
        <v>766</v>
      </c>
      <c r="B43" s="140">
        <v>46153.0</v>
      </c>
      <c r="C43" s="141" t="s">
        <v>722</v>
      </c>
      <c r="D43" s="142"/>
      <c r="E43" s="143">
        <v>590.0</v>
      </c>
      <c r="F43" s="81"/>
      <c r="G43" s="81"/>
    </row>
    <row r="44">
      <c r="A44" s="81" t="s">
        <v>767</v>
      </c>
      <c r="B44" s="140">
        <v>46153.0</v>
      </c>
      <c r="C44" s="141" t="s">
        <v>722</v>
      </c>
      <c r="D44" s="142"/>
      <c r="E44" s="143">
        <v>1000.0</v>
      </c>
      <c r="F44" s="81"/>
      <c r="G44" s="81"/>
    </row>
    <row r="45">
      <c r="A45" s="81" t="s">
        <v>768</v>
      </c>
      <c r="B45" s="140">
        <v>46153.0</v>
      </c>
      <c r="C45" s="141" t="s">
        <v>722</v>
      </c>
      <c r="D45" s="142"/>
      <c r="E45" s="143">
        <v>2014.0</v>
      </c>
      <c r="F45" s="81"/>
      <c r="G45" s="81"/>
    </row>
    <row r="46">
      <c r="A46" s="81" t="s">
        <v>769</v>
      </c>
      <c r="B46" s="140">
        <v>46150.0</v>
      </c>
      <c r="C46" s="141" t="s">
        <v>722</v>
      </c>
      <c r="D46" s="142"/>
      <c r="E46" s="143">
        <f>980+520</f>
        <v>1500</v>
      </c>
      <c r="F46" s="81"/>
      <c r="G46" s="81"/>
    </row>
    <row r="47">
      <c r="A47" s="81" t="s">
        <v>770</v>
      </c>
      <c r="B47" s="140">
        <v>46149.0</v>
      </c>
      <c r="C47" s="141" t="s">
        <v>771</v>
      </c>
      <c r="D47" s="142"/>
      <c r="E47" s="143">
        <v>3890.0</v>
      </c>
      <c r="F47" s="81"/>
      <c r="G47" s="81"/>
    </row>
    <row r="48">
      <c r="A48" s="81" t="s">
        <v>772</v>
      </c>
      <c r="B48" s="140">
        <v>46150.0</v>
      </c>
      <c r="C48" s="141" t="s">
        <v>722</v>
      </c>
      <c r="D48" s="142"/>
      <c r="E48" s="143">
        <v>690.0</v>
      </c>
      <c r="F48" s="81"/>
      <c r="G48" s="81"/>
    </row>
    <row r="49">
      <c r="A49" s="81" t="s">
        <v>773</v>
      </c>
      <c r="B49" s="140">
        <v>46145.0</v>
      </c>
      <c r="C49" s="141" t="s">
        <v>722</v>
      </c>
      <c r="D49" s="142"/>
      <c r="E49" s="143">
        <v>67.08</v>
      </c>
      <c r="F49" s="81"/>
      <c r="G49" s="81"/>
    </row>
    <row r="50">
      <c r="A50" s="81" t="s">
        <v>774</v>
      </c>
      <c r="B50" s="140">
        <v>46144.0</v>
      </c>
      <c r="C50" s="141" t="s">
        <v>771</v>
      </c>
      <c r="D50" s="142"/>
      <c r="E50" s="143">
        <v>1400.0</v>
      </c>
      <c r="F50" s="81"/>
      <c r="G50" s="81"/>
    </row>
    <row r="51">
      <c r="A51" s="81" t="s">
        <v>775</v>
      </c>
      <c r="B51" s="140">
        <v>46144.0</v>
      </c>
      <c r="C51" s="141" t="s">
        <v>735</v>
      </c>
      <c r="D51" s="142"/>
      <c r="E51" s="143">
        <v>4388.0</v>
      </c>
      <c r="F51" s="81"/>
      <c r="G51" s="81"/>
    </row>
    <row r="52">
      <c r="A52" s="81" t="s">
        <v>776</v>
      </c>
      <c r="B52" s="140">
        <v>46141.0</v>
      </c>
      <c r="C52" s="141" t="s">
        <v>722</v>
      </c>
      <c r="D52" s="142"/>
      <c r="E52" s="143">
        <v>1942.0</v>
      </c>
      <c r="F52" s="81"/>
      <c r="G52" s="81"/>
    </row>
    <row r="53">
      <c r="A53" s="81" t="s">
        <v>744</v>
      </c>
      <c r="B53" s="140">
        <v>46139.0</v>
      </c>
      <c r="C53" s="141" t="s">
        <v>745</v>
      </c>
      <c r="D53" s="142">
        <v>750.0</v>
      </c>
      <c r="E53" s="143"/>
      <c r="F53" s="81"/>
      <c r="G53" s="81"/>
    </row>
    <row r="54">
      <c r="A54" s="81" t="s">
        <v>777</v>
      </c>
      <c r="B54" s="140">
        <v>46139.0</v>
      </c>
      <c r="C54" s="141" t="s">
        <v>722</v>
      </c>
      <c r="D54" s="142">
        <v>2112.22</v>
      </c>
      <c r="E54" s="143"/>
      <c r="F54" s="81"/>
      <c r="G54" s="81"/>
    </row>
    <row r="55">
      <c r="A55" s="81" t="s">
        <v>742</v>
      </c>
      <c r="B55" s="140">
        <v>46139.0</v>
      </c>
      <c r="C55" s="141" t="s">
        <v>743</v>
      </c>
      <c r="D55" s="142">
        <v>2000.0</v>
      </c>
      <c r="E55" s="143"/>
      <c r="F55" s="81"/>
      <c r="G55" s="81"/>
    </row>
    <row r="56">
      <c r="A56" s="81" t="s">
        <v>746</v>
      </c>
      <c r="B56" s="140">
        <v>46139.0</v>
      </c>
      <c r="C56" s="141" t="s">
        <v>725</v>
      </c>
      <c r="D56" s="142">
        <v>2000.0</v>
      </c>
      <c r="E56" s="143"/>
      <c r="F56" s="81"/>
      <c r="G56" s="81"/>
    </row>
    <row r="57">
      <c r="A57" s="81" t="s">
        <v>734</v>
      </c>
      <c r="B57" s="140">
        <v>46139.0</v>
      </c>
      <c r="C57" s="141" t="s">
        <v>735</v>
      </c>
      <c r="D57" s="142">
        <v>800.0</v>
      </c>
      <c r="E57" s="143"/>
      <c r="F57" s="81"/>
      <c r="G57" s="81"/>
    </row>
    <row r="58">
      <c r="A58" s="81" t="s">
        <v>778</v>
      </c>
      <c r="B58" s="140">
        <v>46138.0</v>
      </c>
      <c r="C58" s="141" t="s">
        <v>722</v>
      </c>
      <c r="D58" s="142"/>
      <c r="E58" s="143">
        <v>1174.0</v>
      </c>
      <c r="F58" s="81"/>
      <c r="G58" s="81"/>
    </row>
    <row r="59">
      <c r="A59" s="81" t="s">
        <v>779</v>
      </c>
      <c r="B59" s="140">
        <v>46131.0</v>
      </c>
      <c r="C59" s="141" t="s">
        <v>771</v>
      </c>
      <c r="D59" s="142"/>
      <c r="E59" s="143">
        <v>2058.0</v>
      </c>
      <c r="F59" s="81"/>
      <c r="G59" s="81"/>
    </row>
    <row r="60">
      <c r="A60" s="81" t="s">
        <v>687</v>
      </c>
      <c r="B60" s="140">
        <v>46128.0</v>
      </c>
      <c r="C60" s="141" t="s">
        <v>771</v>
      </c>
      <c r="D60" s="142"/>
      <c r="E60" s="143">
        <v>1000.0</v>
      </c>
      <c r="F60" s="81"/>
      <c r="G60" s="81"/>
    </row>
    <row r="61">
      <c r="A61" s="81" t="s">
        <v>780</v>
      </c>
      <c r="B61" s="140">
        <v>46127.0</v>
      </c>
      <c r="C61" s="141" t="s">
        <v>771</v>
      </c>
      <c r="D61" s="142"/>
      <c r="E61" s="143">
        <v>425.25</v>
      </c>
      <c r="F61" s="81"/>
      <c r="G61" s="81"/>
    </row>
    <row r="62">
      <c r="A62" s="81" t="s">
        <v>781</v>
      </c>
      <c r="B62" s="140">
        <v>46127.0</v>
      </c>
      <c r="C62" s="141" t="s">
        <v>771</v>
      </c>
      <c r="D62" s="142">
        <v>500.0</v>
      </c>
      <c r="E62" s="143"/>
      <c r="F62" s="81"/>
      <c r="G62" s="81"/>
    </row>
    <row r="63">
      <c r="A63" s="81" t="s">
        <v>782</v>
      </c>
      <c r="B63" s="140">
        <v>46126.0</v>
      </c>
      <c r="C63" s="141" t="s">
        <v>771</v>
      </c>
      <c r="D63" s="142"/>
      <c r="E63" s="143">
        <v>359.0</v>
      </c>
      <c r="F63" s="81"/>
      <c r="G63" s="81"/>
    </row>
    <row r="64">
      <c r="A64" s="81" t="s">
        <v>783</v>
      </c>
      <c r="B64" s="140">
        <v>46126.0</v>
      </c>
      <c r="C64" s="141" t="s">
        <v>771</v>
      </c>
      <c r="D64" s="142"/>
      <c r="E64" s="143">
        <v>1778.0</v>
      </c>
      <c r="F64" s="81"/>
      <c r="G64" s="81"/>
    </row>
    <row r="65">
      <c r="A65" s="81" t="s">
        <v>784</v>
      </c>
      <c r="B65" s="140">
        <v>46125.0</v>
      </c>
      <c r="C65" s="141" t="s">
        <v>771</v>
      </c>
      <c r="D65" s="142"/>
      <c r="E65" s="143">
        <v>1433.0</v>
      </c>
      <c r="F65" s="81"/>
      <c r="G65" s="81"/>
    </row>
    <row r="66">
      <c r="A66" s="81" t="s">
        <v>785</v>
      </c>
      <c r="B66" s="140">
        <v>46116.0</v>
      </c>
      <c r="C66" s="141" t="s">
        <v>722</v>
      </c>
      <c r="D66" s="142"/>
      <c r="E66" s="143">
        <v>300.0</v>
      </c>
      <c r="F66" s="81"/>
      <c r="G66" s="81"/>
    </row>
    <row r="67">
      <c r="A67" s="81" t="s">
        <v>786</v>
      </c>
      <c r="B67" s="140">
        <v>46122.0</v>
      </c>
      <c r="C67" s="141" t="s">
        <v>771</v>
      </c>
      <c r="D67" s="142"/>
      <c r="E67" s="143">
        <v>3890.0</v>
      </c>
      <c r="F67" s="81"/>
      <c r="G67" s="81"/>
    </row>
    <row r="68">
      <c r="A68" s="81" t="s">
        <v>787</v>
      </c>
      <c r="B68" s="140">
        <v>46113.0</v>
      </c>
      <c r="C68" s="141" t="s">
        <v>735</v>
      </c>
      <c r="D68" s="142"/>
      <c r="E68" s="143">
        <v>4388.0</v>
      </c>
      <c r="F68" s="81"/>
      <c r="G68" s="81"/>
    </row>
    <row r="69">
      <c r="A69" s="81" t="s">
        <v>788</v>
      </c>
      <c r="B69" s="140">
        <v>46115.0</v>
      </c>
      <c r="C69" s="141" t="s">
        <v>771</v>
      </c>
      <c r="D69" s="142"/>
      <c r="E69" s="143">
        <v>2663.0</v>
      </c>
      <c r="F69" s="81"/>
      <c r="G69" s="81"/>
    </row>
    <row r="70">
      <c r="A70" s="81" t="s">
        <v>734</v>
      </c>
      <c r="B70" s="140">
        <v>46113.0</v>
      </c>
      <c r="C70" s="141" t="s">
        <v>735</v>
      </c>
      <c r="D70" s="142">
        <v>210.0</v>
      </c>
      <c r="E70" s="143"/>
      <c r="F70" s="81"/>
      <c r="G70" s="81"/>
    </row>
    <row r="71">
      <c r="A71" s="81" t="s">
        <v>734</v>
      </c>
      <c r="B71" s="140">
        <v>46106.0</v>
      </c>
      <c r="C71" s="141" t="s">
        <v>735</v>
      </c>
      <c r="D71" s="142">
        <v>1200.0</v>
      </c>
      <c r="E71" s="143"/>
      <c r="F71" s="81"/>
      <c r="G71" s="81"/>
    </row>
    <row r="72">
      <c r="A72" s="81" t="s">
        <v>777</v>
      </c>
      <c r="B72" s="140">
        <v>46106.0</v>
      </c>
      <c r="C72" s="141" t="s">
        <v>722</v>
      </c>
      <c r="D72" s="142">
        <v>706.86</v>
      </c>
      <c r="E72" s="143"/>
      <c r="F72" s="81"/>
      <c r="G72" s="81"/>
    </row>
    <row r="73">
      <c r="A73" s="81" t="s">
        <v>744</v>
      </c>
      <c r="B73" s="140">
        <v>46106.0</v>
      </c>
      <c r="C73" s="141" t="s">
        <v>745</v>
      </c>
      <c r="D73" s="142">
        <v>750.0</v>
      </c>
      <c r="E73" s="143"/>
      <c r="F73" s="81"/>
      <c r="G73" s="81"/>
    </row>
    <row r="74">
      <c r="A74" s="81" t="s">
        <v>742</v>
      </c>
      <c r="B74" s="140">
        <v>46106.0</v>
      </c>
      <c r="C74" s="141" t="s">
        <v>743</v>
      </c>
      <c r="D74" s="142">
        <v>2000.0</v>
      </c>
      <c r="E74" s="143"/>
      <c r="F74" s="81"/>
      <c r="G74" s="81"/>
    </row>
    <row r="75">
      <c r="A75" s="81" t="s">
        <v>746</v>
      </c>
      <c r="B75" s="140">
        <v>46106.0</v>
      </c>
      <c r="C75" s="141" t="s">
        <v>725</v>
      </c>
      <c r="D75" s="142">
        <v>2000.0</v>
      </c>
      <c r="E75" s="143"/>
      <c r="F75" s="81"/>
      <c r="G75" s="81"/>
    </row>
    <row r="76">
      <c r="A76" s="81" t="s">
        <v>789</v>
      </c>
      <c r="B76" s="140">
        <v>46104.0</v>
      </c>
      <c r="C76" s="141" t="s">
        <v>722</v>
      </c>
      <c r="D76" s="142"/>
      <c r="E76" s="143">
        <v>2700.0</v>
      </c>
      <c r="F76" s="81"/>
      <c r="G76" s="81"/>
    </row>
    <row r="77">
      <c r="A77" s="81" t="s">
        <v>790</v>
      </c>
      <c r="B77" s="140">
        <v>46103.0</v>
      </c>
      <c r="C77" s="141" t="s">
        <v>771</v>
      </c>
      <c r="D77" s="142"/>
      <c r="E77" s="143">
        <v>2160.0</v>
      </c>
      <c r="F77" s="81"/>
      <c r="G77" s="81"/>
    </row>
    <row r="78">
      <c r="A78" s="81" t="s">
        <v>791</v>
      </c>
      <c r="B78" s="140">
        <v>46093.0</v>
      </c>
      <c r="C78" s="141" t="s">
        <v>725</v>
      </c>
      <c r="D78" s="142"/>
      <c r="E78" s="143">
        <v>3100.0</v>
      </c>
      <c r="F78" s="81"/>
      <c r="G78" s="81"/>
    </row>
    <row r="79">
      <c r="A79" s="81" t="s">
        <v>792</v>
      </c>
      <c r="B79" s="140">
        <v>46093.0</v>
      </c>
      <c r="C79" s="141" t="s">
        <v>725</v>
      </c>
      <c r="D79" s="142"/>
      <c r="E79" s="143">
        <v>1492.65</v>
      </c>
      <c r="F79" s="81"/>
      <c r="G79" s="81"/>
    </row>
    <row r="80">
      <c r="A80" s="81" t="s">
        <v>793</v>
      </c>
      <c r="B80" s="140">
        <v>46096.0</v>
      </c>
      <c r="C80" s="141" t="s">
        <v>722</v>
      </c>
      <c r="D80" s="142"/>
      <c r="E80" s="143">
        <v>740.0</v>
      </c>
      <c r="F80" s="81"/>
      <c r="G80" s="81"/>
    </row>
    <row r="81">
      <c r="A81" s="81" t="s">
        <v>794</v>
      </c>
      <c r="B81" s="140">
        <v>46096.0</v>
      </c>
      <c r="C81" s="141" t="s">
        <v>722</v>
      </c>
      <c r="D81" s="142"/>
      <c r="E81" s="143">
        <v>843.0</v>
      </c>
      <c r="F81" s="81"/>
      <c r="G81" s="81"/>
    </row>
    <row r="82">
      <c r="A82" s="81" t="s">
        <v>795</v>
      </c>
      <c r="B82" s="140">
        <v>46094.0</v>
      </c>
      <c r="C82" s="141" t="s">
        <v>722</v>
      </c>
      <c r="D82" s="142"/>
      <c r="E82" s="143">
        <v>149.0</v>
      </c>
      <c r="F82" s="81"/>
      <c r="G82" s="81"/>
    </row>
    <row r="83">
      <c r="A83" s="81" t="s">
        <v>796</v>
      </c>
      <c r="B83" s="140">
        <v>46093.0</v>
      </c>
      <c r="C83" s="141" t="s">
        <v>722</v>
      </c>
      <c r="D83" s="142"/>
      <c r="E83" s="143">
        <v>1100.0</v>
      </c>
      <c r="F83" s="81"/>
      <c r="G83" s="81"/>
    </row>
    <row r="84">
      <c r="A84" s="81" t="s">
        <v>797</v>
      </c>
      <c r="B84" s="140">
        <v>46090.0</v>
      </c>
      <c r="C84" s="141" t="s">
        <v>771</v>
      </c>
      <c r="D84" s="142"/>
      <c r="E84" s="143">
        <v>3890.0</v>
      </c>
      <c r="F84" s="81"/>
      <c r="G84" s="81"/>
    </row>
    <row r="85">
      <c r="A85" s="81" t="s">
        <v>798</v>
      </c>
      <c r="B85" s="140">
        <v>46089.0</v>
      </c>
      <c r="C85" s="141" t="s">
        <v>722</v>
      </c>
      <c r="D85" s="142"/>
      <c r="E85" s="143">
        <f>1500+832</f>
        <v>2332</v>
      </c>
      <c r="F85" s="81"/>
      <c r="G85" s="81"/>
    </row>
    <row r="86">
      <c r="A86" s="81" t="s">
        <v>734</v>
      </c>
      <c r="B86" s="140">
        <v>46086.0</v>
      </c>
      <c r="C86" s="141" t="s">
        <v>735</v>
      </c>
      <c r="D86" s="142">
        <v>900.0</v>
      </c>
      <c r="E86" s="143"/>
      <c r="F86" s="81"/>
      <c r="G86" s="81"/>
    </row>
    <row r="87">
      <c r="A87" s="81" t="s">
        <v>799</v>
      </c>
      <c r="B87" s="140">
        <v>46083.0</v>
      </c>
      <c r="C87" s="141" t="s">
        <v>771</v>
      </c>
      <c r="D87" s="142"/>
      <c r="E87" s="143">
        <v>3880.0</v>
      </c>
      <c r="F87" s="81"/>
      <c r="G87" s="81"/>
    </row>
    <row r="88">
      <c r="A88" s="81" t="s">
        <v>800</v>
      </c>
      <c r="B88" s="140">
        <v>46083.0</v>
      </c>
      <c r="C88" s="141" t="s">
        <v>771</v>
      </c>
      <c r="D88" s="142"/>
      <c r="E88" s="143">
        <v>1197.0</v>
      </c>
      <c r="F88" s="81"/>
      <c r="G88" s="81"/>
    </row>
    <row r="89">
      <c r="A89" s="81" t="s">
        <v>801</v>
      </c>
      <c r="B89" s="140">
        <v>46081.0</v>
      </c>
      <c r="C89" s="141" t="s">
        <v>722</v>
      </c>
      <c r="D89" s="142"/>
      <c r="E89" s="143">
        <v>1099.2</v>
      </c>
      <c r="F89" s="81"/>
      <c r="G89" s="81"/>
    </row>
    <row r="90">
      <c r="A90" s="81" t="s">
        <v>742</v>
      </c>
      <c r="B90" s="140">
        <v>46078.0</v>
      </c>
      <c r="C90" s="141" t="s">
        <v>743</v>
      </c>
      <c r="D90" s="142">
        <v>2000.0</v>
      </c>
      <c r="E90" s="143"/>
      <c r="F90" s="81"/>
      <c r="G90" s="81"/>
    </row>
    <row r="91">
      <c r="A91" s="81" t="s">
        <v>744</v>
      </c>
      <c r="B91" s="140">
        <v>46078.0</v>
      </c>
      <c r="C91" s="141" t="s">
        <v>745</v>
      </c>
      <c r="D91" s="142">
        <v>750.0</v>
      </c>
      <c r="E91" s="143"/>
      <c r="F91" s="81"/>
      <c r="G91" s="81"/>
    </row>
    <row r="92">
      <c r="A92" s="81" t="s">
        <v>746</v>
      </c>
      <c r="B92" s="140">
        <v>46078.0</v>
      </c>
      <c r="C92" s="141" t="s">
        <v>725</v>
      </c>
      <c r="D92" s="142">
        <v>2000.0</v>
      </c>
      <c r="E92" s="143"/>
      <c r="F92" s="81"/>
      <c r="G92" s="81"/>
    </row>
    <row r="93">
      <c r="A93" s="81" t="s">
        <v>734</v>
      </c>
      <c r="B93" s="140">
        <v>46078.0</v>
      </c>
      <c r="C93" s="141" t="s">
        <v>735</v>
      </c>
      <c r="D93" s="142">
        <v>1250.0</v>
      </c>
      <c r="E93" s="143"/>
      <c r="F93" s="81"/>
      <c r="G93" s="81"/>
    </row>
    <row r="94">
      <c r="A94" s="81" t="s">
        <v>802</v>
      </c>
      <c r="B94" s="140">
        <v>46078.0</v>
      </c>
      <c r="C94" s="141" t="s">
        <v>771</v>
      </c>
      <c r="D94" s="142">
        <v>3880.0</v>
      </c>
      <c r="E94" s="143"/>
      <c r="F94" s="81"/>
      <c r="G94" s="81"/>
    </row>
    <row r="95">
      <c r="A95" s="81" t="s">
        <v>777</v>
      </c>
      <c r="B95" s="140">
        <v>46078.0</v>
      </c>
      <c r="C95" s="141" t="s">
        <v>722</v>
      </c>
      <c r="D95" s="142">
        <v>656.86</v>
      </c>
      <c r="E95" s="143"/>
      <c r="F95" s="81"/>
      <c r="G95" s="81"/>
    </row>
    <row r="96">
      <c r="A96" s="81" t="s">
        <v>803</v>
      </c>
      <c r="B96" s="140">
        <v>46077.0</v>
      </c>
      <c r="C96" s="141" t="s">
        <v>722</v>
      </c>
      <c r="D96" s="142"/>
      <c r="E96" s="143">
        <v>199.0</v>
      </c>
      <c r="F96" s="81"/>
      <c r="G96" s="81"/>
    </row>
    <row r="97">
      <c r="A97" s="81" t="s">
        <v>804</v>
      </c>
      <c r="B97" s="140">
        <v>46075.0</v>
      </c>
      <c r="C97" s="141" t="s">
        <v>722</v>
      </c>
      <c r="D97" s="142"/>
      <c r="E97" s="143">
        <v>667.0</v>
      </c>
      <c r="F97" s="81"/>
      <c r="G97" s="81"/>
    </row>
    <row r="98">
      <c r="A98" s="81" t="s">
        <v>734</v>
      </c>
      <c r="B98" s="140">
        <v>46070.0</v>
      </c>
      <c r="C98" s="141" t="s">
        <v>735</v>
      </c>
      <c r="D98" s="142">
        <v>143.0</v>
      </c>
      <c r="E98" s="143"/>
      <c r="F98" s="81"/>
      <c r="G98" s="81"/>
    </row>
    <row r="99">
      <c r="A99" s="81" t="s">
        <v>805</v>
      </c>
      <c r="B99" s="140">
        <v>46073.0</v>
      </c>
      <c r="C99" s="141" t="s">
        <v>722</v>
      </c>
      <c r="D99" s="142"/>
      <c r="E99" s="143">
        <v>640.0</v>
      </c>
      <c r="F99" s="81"/>
      <c r="G99" s="81"/>
    </row>
    <row r="100">
      <c r="A100" s="81" t="s">
        <v>806</v>
      </c>
      <c r="B100" s="140">
        <v>46067.0</v>
      </c>
      <c r="C100" s="141" t="s">
        <v>771</v>
      </c>
      <c r="D100" s="142"/>
      <c r="E100" s="143">
        <v>188.99</v>
      </c>
      <c r="F100" s="81"/>
      <c r="G100" s="81"/>
    </row>
    <row r="101">
      <c r="A101" s="81" t="s">
        <v>807</v>
      </c>
      <c r="B101" s="140">
        <v>46065.0</v>
      </c>
      <c r="C101" s="141" t="s">
        <v>771</v>
      </c>
      <c r="D101" s="142"/>
      <c r="E101" s="143">
        <v>149.0</v>
      </c>
      <c r="F101" s="81"/>
      <c r="G101" s="81"/>
    </row>
    <row r="102">
      <c r="A102" s="81" t="s">
        <v>734</v>
      </c>
      <c r="B102" s="140">
        <v>46063.0</v>
      </c>
      <c r="C102" s="141" t="s">
        <v>735</v>
      </c>
      <c r="D102" s="142">
        <v>712.0</v>
      </c>
      <c r="E102" s="143"/>
      <c r="F102" s="81"/>
      <c r="G102" s="81"/>
    </row>
    <row r="103">
      <c r="A103" s="81" t="s">
        <v>808</v>
      </c>
      <c r="B103" s="140">
        <v>46061.0</v>
      </c>
      <c r="C103" s="141" t="s">
        <v>771</v>
      </c>
      <c r="D103" s="142">
        <v>5840.0</v>
      </c>
      <c r="E103" s="143"/>
      <c r="F103" s="81"/>
      <c r="G103" s="81"/>
    </row>
    <row r="104">
      <c r="A104" s="81" t="s">
        <v>809</v>
      </c>
      <c r="B104" s="140">
        <v>46062.0</v>
      </c>
      <c r="C104" s="141" t="s">
        <v>771</v>
      </c>
      <c r="D104" s="142"/>
      <c r="E104" s="143">
        <v>3890.0</v>
      </c>
      <c r="F104" s="81"/>
      <c r="G104" s="81"/>
    </row>
    <row r="105">
      <c r="A105" s="81" t="s">
        <v>810</v>
      </c>
      <c r="B105" s="140">
        <v>46062.0</v>
      </c>
      <c r="C105" s="141" t="s">
        <v>725</v>
      </c>
      <c r="D105" s="142"/>
      <c r="E105" s="143">
        <v>1456.0</v>
      </c>
      <c r="F105" s="81"/>
      <c r="G105" s="81"/>
    </row>
    <row r="106">
      <c r="A106" s="81" t="s">
        <v>811</v>
      </c>
      <c r="B106" s="140">
        <v>46062.0</v>
      </c>
      <c r="C106" s="141" t="s">
        <v>771</v>
      </c>
      <c r="D106" s="142"/>
      <c r="E106" s="143">
        <v>124.0</v>
      </c>
      <c r="F106" s="81"/>
      <c r="G106" s="81"/>
    </row>
    <row r="107">
      <c r="A107" s="81" t="s">
        <v>812</v>
      </c>
      <c r="B107" s="140">
        <v>46050.0</v>
      </c>
      <c r="C107" s="141" t="s">
        <v>771</v>
      </c>
      <c r="D107" s="142"/>
      <c r="E107" s="143">
        <v>2249.0</v>
      </c>
      <c r="F107" s="81"/>
      <c r="G107" s="81"/>
    </row>
    <row r="108">
      <c r="A108" s="81" t="s">
        <v>813</v>
      </c>
      <c r="B108" s="140">
        <v>46061.0</v>
      </c>
      <c r="C108" s="141" t="s">
        <v>771</v>
      </c>
      <c r="D108" s="142"/>
      <c r="E108" s="143">
        <v>99.46</v>
      </c>
      <c r="F108" s="81"/>
      <c r="G108" s="81"/>
    </row>
    <row r="109">
      <c r="A109" s="81" t="s">
        <v>814</v>
      </c>
      <c r="B109" s="140">
        <v>46058.0</v>
      </c>
      <c r="C109" s="141" t="s">
        <v>771</v>
      </c>
      <c r="D109" s="142"/>
      <c r="E109" s="143">
        <v>143.0</v>
      </c>
      <c r="F109" s="81"/>
      <c r="G109" s="81"/>
    </row>
    <row r="110">
      <c r="A110" s="81" t="s">
        <v>815</v>
      </c>
      <c r="B110" s="140">
        <v>46057.0</v>
      </c>
      <c r="C110" s="141" t="s">
        <v>771</v>
      </c>
      <c r="D110" s="142"/>
      <c r="E110" s="143">
        <v>46.2</v>
      </c>
      <c r="F110" s="81"/>
      <c r="G110" s="81"/>
    </row>
    <row r="111">
      <c r="A111" s="81" t="s">
        <v>816</v>
      </c>
      <c r="B111" s="140">
        <v>46056.0</v>
      </c>
      <c r="C111" s="141" t="s">
        <v>771</v>
      </c>
      <c r="D111" s="142"/>
      <c r="E111" s="143">
        <v>748.0</v>
      </c>
      <c r="F111" s="81"/>
      <c r="G111" s="81"/>
    </row>
    <row r="112">
      <c r="A112" s="81" t="s">
        <v>817</v>
      </c>
      <c r="B112" s="140">
        <v>46055.0</v>
      </c>
      <c r="C112" s="141" t="s">
        <v>771</v>
      </c>
      <c r="D112" s="142"/>
      <c r="E112" s="143">
        <v>814.0</v>
      </c>
      <c r="F112" s="81"/>
      <c r="G112" s="81"/>
    </row>
    <row r="113">
      <c r="A113" s="81" t="s">
        <v>734</v>
      </c>
      <c r="B113" s="140">
        <v>46049.0</v>
      </c>
      <c r="C113" s="141" t="s">
        <v>735</v>
      </c>
      <c r="D113" s="142">
        <v>285.0</v>
      </c>
      <c r="E113" s="143"/>
      <c r="F113" s="81"/>
      <c r="G113" s="81"/>
    </row>
    <row r="114">
      <c r="A114" s="81" t="s">
        <v>818</v>
      </c>
      <c r="B114" s="140">
        <v>46048.0</v>
      </c>
      <c r="C114" s="141" t="s">
        <v>771</v>
      </c>
      <c r="D114" s="142"/>
      <c r="E114" s="143">
        <v>1174.0</v>
      </c>
      <c r="F114" s="81"/>
      <c r="G114" s="81"/>
    </row>
    <row r="115">
      <c r="A115" s="81" t="s">
        <v>819</v>
      </c>
      <c r="B115" s="140">
        <v>46048.0</v>
      </c>
      <c r="C115" s="141" t="s">
        <v>771</v>
      </c>
      <c r="D115" s="142"/>
      <c r="E115" s="143">
        <v>3760.0</v>
      </c>
      <c r="F115" s="81"/>
      <c r="G115" s="81"/>
    </row>
    <row r="116">
      <c r="A116" s="81" t="s">
        <v>820</v>
      </c>
      <c r="B116" s="140">
        <v>46045.0</v>
      </c>
      <c r="C116" s="141" t="s">
        <v>771</v>
      </c>
      <c r="D116" s="142">
        <v>10000.0</v>
      </c>
      <c r="E116" s="143"/>
      <c r="F116" s="81"/>
      <c r="G116" s="81"/>
    </row>
    <row r="117">
      <c r="A117" s="81" t="s">
        <v>777</v>
      </c>
      <c r="B117" s="140">
        <v>46045.0</v>
      </c>
      <c r="C117" s="141" t="s">
        <v>722</v>
      </c>
      <c r="D117" s="142">
        <v>3766.86</v>
      </c>
      <c r="E117" s="143"/>
      <c r="F117" s="81"/>
      <c r="G117" s="81"/>
    </row>
    <row r="118">
      <c r="A118" s="81" t="s">
        <v>821</v>
      </c>
      <c r="B118" s="140">
        <v>46045.0</v>
      </c>
      <c r="C118" s="141" t="s">
        <v>745</v>
      </c>
      <c r="D118" s="142">
        <v>750.0</v>
      </c>
      <c r="E118" s="143"/>
      <c r="F118" s="81"/>
      <c r="G118" s="81"/>
    </row>
    <row r="119">
      <c r="A119" s="81" t="s">
        <v>822</v>
      </c>
      <c r="B119" s="140">
        <v>46045.0</v>
      </c>
      <c r="C119" s="141" t="s">
        <v>743</v>
      </c>
      <c r="D119" s="142">
        <v>2000.0</v>
      </c>
      <c r="E119" s="143"/>
      <c r="F119" s="81"/>
      <c r="G119" s="81"/>
    </row>
    <row r="120">
      <c r="A120" s="81" t="s">
        <v>746</v>
      </c>
      <c r="B120" s="140">
        <v>46045.0</v>
      </c>
      <c r="C120" s="141" t="s">
        <v>725</v>
      </c>
      <c r="D120" s="142">
        <v>2500.0</v>
      </c>
      <c r="E120" s="143"/>
      <c r="F120" s="81"/>
      <c r="G120" s="81"/>
    </row>
    <row r="121">
      <c r="A121" s="81" t="s">
        <v>734</v>
      </c>
      <c r="B121" s="140">
        <v>46045.0</v>
      </c>
      <c r="C121" s="141" t="s">
        <v>735</v>
      </c>
      <c r="D121" s="142">
        <v>1250.0</v>
      </c>
      <c r="E121" s="143"/>
      <c r="F121" s="81"/>
      <c r="G121" s="81"/>
    </row>
    <row r="122">
      <c r="A122" s="81" t="s">
        <v>823</v>
      </c>
      <c r="B122" s="140">
        <v>46042.0</v>
      </c>
      <c r="C122" s="141" t="s">
        <v>771</v>
      </c>
      <c r="D122" s="142"/>
      <c r="E122" s="143">
        <v>1850.0</v>
      </c>
      <c r="F122" s="81"/>
      <c r="G122" s="81"/>
    </row>
    <row r="123">
      <c r="A123" s="81" t="s">
        <v>824</v>
      </c>
      <c r="B123" s="140">
        <v>46035.0</v>
      </c>
      <c r="C123" s="141" t="s">
        <v>722</v>
      </c>
      <c r="D123" s="142">
        <v>573.0</v>
      </c>
      <c r="E123" s="143"/>
      <c r="F123" s="81"/>
      <c r="G123" s="81"/>
    </row>
    <row r="124">
      <c r="A124" s="81" t="s">
        <v>825</v>
      </c>
      <c r="B124" s="140">
        <v>46035.0</v>
      </c>
      <c r="C124" s="141" t="s">
        <v>771</v>
      </c>
      <c r="D124" s="142"/>
      <c r="E124" s="143">
        <v>1383.0</v>
      </c>
      <c r="F124" s="81"/>
      <c r="G124" s="81"/>
    </row>
    <row r="125">
      <c r="A125" s="81" t="s">
        <v>826</v>
      </c>
      <c r="B125" s="140">
        <v>46033.0</v>
      </c>
      <c r="C125" s="141" t="s">
        <v>722</v>
      </c>
      <c r="D125" s="142"/>
      <c r="E125" s="143">
        <v>937.0</v>
      </c>
      <c r="F125" s="144"/>
      <c r="G125" s="81"/>
    </row>
    <row r="126">
      <c r="A126" s="81" t="s">
        <v>825</v>
      </c>
      <c r="B126" s="140">
        <v>46033.0</v>
      </c>
      <c r="C126" s="141" t="s">
        <v>771</v>
      </c>
      <c r="D126" s="142"/>
      <c r="E126" s="143">
        <v>108.0</v>
      </c>
      <c r="F126" s="81"/>
      <c r="G126" s="81"/>
    </row>
    <row r="127">
      <c r="A127" s="81" t="s">
        <v>825</v>
      </c>
      <c r="B127" s="140">
        <v>46033.0</v>
      </c>
      <c r="C127" s="141" t="s">
        <v>771</v>
      </c>
      <c r="D127" s="142"/>
      <c r="E127" s="143">
        <v>332.0</v>
      </c>
      <c r="F127" s="81"/>
      <c r="G127" s="81"/>
    </row>
    <row r="128">
      <c r="A128" s="81" t="s">
        <v>734</v>
      </c>
      <c r="B128" s="140">
        <v>46028.0</v>
      </c>
      <c r="C128" s="141" t="s">
        <v>735</v>
      </c>
      <c r="D128" s="142">
        <v>285.0</v>
      </c>
      <c r="E128" s="143"/>
      <c r="F128" s="81"/>
      <c r="G128" s="81"/>
    </row>
    <row r="129">
      <c r="A129" s="81" t="s">
        <v>827</v>
      </c>
      <c r="B129" s="140">
        <v>46033.0</v>
      </c>
      <c r="C129" s="141" t="s">
        <v>725</v>
      </c>
      <c r="D129" s="142"/>
      <c r="E129" s="143">
        <v>1456.0</v>
      </c>
      <c r="F129" s="81"/>
      <c r="G129" s="81"/>
    </row>
    <row r="130">
      <c r="A130" s="81" t="s">
        <v>825</v>
      </c>
      <c r="B130" s="140">
        <v>46033.0</v>
      </c>
      <c r="C130" s="141" t="s">
        <v>771</v>
      </c>
      <c r="D130" s="142"/>
      <c r="E130" s="143">
        <v>1371.0</v>
      </c>
      <c r="F130" s="81"/>
      <c r="G130" s="81"/>
    </row>
    <row r="131">
      <c r="A131" s="81" t="s">
        <v>825</v>
      </c>
      <c r="B131" s="140">
        <v>46031.0</v>
      </c>
      <c r="C131" s="141" t="s">
        <v>771</v>
      </c>
      <c r="D131" s="142"/>
      <c r="E131" s="143">
        <v>2639.0</v>
      </c>
      <c r="F131" s="81"/>
      <c r="G131" s="81"/>
    </row>
    <row r="132">
      <c r="A132" s="81" t="s">
        <v>828</v>
      </c>
      <c r="B132" s="140">
        <v>46030.0</v>
      </c>
      <c r="C132" s="141" t="s">
        <v>771</v>
      </c>
      <c r="D132" s="142">
        <v>130.0</v>
      </c>
      <c r="E132" s="143">
        <v>130.0</v>
      </c>
      <c r="F132" s="81"/>
      <c r="G132" s="81"/>
    </row>
    <row r="133">
      <c r="A133" s="81" t="s">
        <v>829</v>
      </c>
      <c r="B133" s="140">
        <v>46030.0</v>
      </c>
      <c r="C133" s="141" t="s">
        <v>771</v>
      </c>
      <c r="D133" s="142"/>
      <c r="E133" s="143">
        <v>2516.0</v>
      </c>
      <c r="F133" s="81"/>
      <c r="G133" s="81"/>
    </row>
    <row r="134">
      <c r="A134" s="81" t="s">
        <v>829</v>
      </c>
      <c r="B134" s="140">
        <v>46030.0</v>
      </c>
      <c r="C134" s="141" t="s">
        <v>771</v>
      </c>
      <c r="D134" s="142"/>
      <c r="E134" s="143">
        <v>6186.0</v>
      </c>
      <c r="F134" s="81"/>
      <c r="G134" s="81"/>
    </row>
    <row r="135">
      <c r="A135" s="81" t="s">
        <v>830</v>
      </c>
      <c r="B135" s="140">
        <v>46018.0</v>
      </c>
      <c r="C135" s="141" t="s">
        <v>831</v>
      </c>
      <c r="D135" s="142"/>
      <c r="E135" s="143">
        <v>2000.0</v>
      </c>
      <c r="F135" s="81"/>
      <c r="G135" s="81"/>
    </row>
    <row r="136">
      <c r="A136" s="81" t="s">
        <v>434</v>
      </c>
      <c r="B136" s="140">
        <v>46016.0</v>
      </c>
      <c r="C136" s="141" t="s">
        <v>832</v>
      </c>
      <c r="D136" s="142">
        <v>8000.0</v>
      </c>
      <c r="E136" s="143"/>
      <c r="F136" s="81"/>
      <c r="G136" s="81"/>
    </row>
    <row r="137">
      <c r="A137" s="81" t="s">
        <v>820</v>
      </c>
      <c r="B137" s="140">
        <v>46016.0</v>
      </c>
      <c r="C137" s="141" t="s">
        <v>833</v>
      </c>
      <c r="D137" s="142">
        <v>40000.0</v>
      </c>
      <c r="E137" s="143"/>
      <c r="F137" s="81"/>
      <c r="G137" s="81"/>
    </row>
    <row r="138">
      <c r="A138" s="81" t="s">
        <v>777</v>
      </c>
      <c r="B138" s="140">
        <v>46016.0</v>
      </c>
      <c r="C138" s="141" t="s">
        <v>831</v>
      </c>
      <c r="D138" s="142">
        <v>25000.0</v>
      </c>
      <c r="E138" s="143"/>
      <c r="F138" s="81"/>
      <c r="G138" s="81"/>
    </row>
    <row r="139">
      <c r="A139" s="81" t="s">
        <v>746</v>
      </c>
      <c r="B139" s="140">
        <v>46016.0</v>
      </c>
      <c r="C139" s="141" t="s">
        <v>834</v>
      </c>
      <c r="D139" s="142">
        <v>16000.0</v>
      </c>
      <c r="E139" s="143"/>
      <c r="G139" s="81"/>
    </row>
    <row r="140">
      <c r="A140" s="81" t="s">
        <v>822</v>
      </c>
      <c r="B140" s="140">
        <v>46016.0</v>
      </c>
      <c r="C140" s="141" t="s">
        <v>835</v>
      </c>
      <c r="D140" s="142">
        <v>500.0</v>
      </c>
      <c r="E140" s="143"/>
      <c r="G140" s="81"/>
    </row>
    <row r="141">
      <c r="A141" s="81" t="s">
        <v>821</v>
      </c>
      <c r="B141" s="140">
        <v>46016.0</v>
      </c>
      <c r="C141" s="141" t="s">
        <v>836</v>
      </c>
      <c r="D141" s="142">
        <v>750.0</v>
      </c>
      <c r="E141" s="143"/>
      <c r="F141" s="81"/>
      <c r="G141" s="81"/>
    </row>
    <row r="142">
      <c r="A142" s="81" t="s">
        <v>746</v>
      </c>
      <c r="B142" s="140">
        <v>46016.0</v>
      </c>
      <c r="C142" s="141" t="s">
        <v>834</v>
      </c>
      <c r="D142" s="142">
        <v>2500.0</v>
      </c>
      <c r="E142" s="143"/>
      <c r="F142" s="81"/>
      <c r="G142" s="81"/>
    </row>
    <row r="143">
      <c r="A143" s="81" t="s">
        <v>777</v>
      </c>
      <c r="B143" s="140">
        <v>46016.0</v>
      </c>
      <c r="C143" s="141" t="s">
        <v>831</v>
      </c>
      <c r="D143" s="142">
        <v>6000.0</v>
      </c>
      <c r="E143" s="143"/>
      <c r="F143" s="81"/>
      <c r="G143" s="81"/>
    </row>
    <row r="144">
      <c r="A144" s="81" t="s">
        <v>820</v>
      </c>
      <c r="B144" s="140">
        <v>46016.0</v>
      </c>
      <c r="C144" s="141" t="s">
        <v>833</v>
      </c>
      <c r="D144" s="142">
        <v>561.86</v>
      </c>
      <c r="E144" s="143"/>
      <c r="F144" s="81"/>
      <c r="G144" s="81"/>
    </row>
    <row r="145">
      <c r="A145" s="81" t="s">
        <v>734</v>
      </c>
      <c r="B145" s="140">
        <v>46015.0</v>
      </c>
      <c r="C145" s="141" t="s">
        <v>837</v>
      </c>
      <c r="D145" s="142">
        <v>143.0</v>
      </c>
      <c r="E145" s="143"/>
      <c r="F145" s="81"/>
      <c r="G145" s="81"/>
    </row>
    <row r="146">
      <c r="A146" s="81" t="s">
        <v>734</v>
      </c>
      <c r="B146" s="140">
        <v>46007.0</v>
      </c>
      <c r="C146" s="141" t="s">
        <v>837</v>
      </c>
      <c r="D146" s="142">
        <v>285.0</v>
      </c>
      <c r="E146" s="143"/>
      <c r="F146" s="81"/>
      <c r="G146" s="81"/>
    </row>
    <row r="147">
      <c r="A147" s="81" t="s">
        <v>838</v>
      </c>
      <c r="B147" s="140">
        <v>46002.0</v>
      </c>
      <c r="C147" s="141" t="s">
        <v>831</v>
      </c>
      <c r="D147" s="142"/>
      <c r="E147" s="143">
        <v>500.0</v>
      </c>
      <c r="F147" s="81"/>
      <c r="G147" s="81"/>
    </row>
    <row r="148">
      <c r="A148" s="81" t="s">
        <v>794</v>
      </c>
      <c r="B148" s="140">
        <v>46002.0</v>
      </c>
      <c r="C148" s="141" t="s">
        <v>831</v>
      </c>
      <c r="D148" s="142"/>
      <c r="E148" s="143">
        <v>190.0</v>
      </c>
      <c r="F148" s="81"/>
      <c r="G148" s="81"/>
    </row>
    <row r="149">
      <c r="A149" s="81" t="s">
        <v>839</v>
      </c>
      <c r="B149" s="140">
        <v>45999.0</v>
      </c>
      <c r="C149" s="141" t="s">
        <v>834</v>
      </c>
      <c r="D149" s="142"/>
      <c r="E149" s="143">
        <v>1456.0</v>
      </c>
      <c r="F149" s="81"/>
      <c r="G149" s="81"/>
    </row>
    <row r="150">
      <c r="A150" s="81" t="s">
        <v>840</v>
      </c>
      <c r="B150" s="140">
        <v>45997.0</v>
      </c>
      <c r="C150" s="141" t="s">
        <v>831</v>
      </c>
      <c r="D150" s="142"/>
      <c r="E150" s="143">
        <v>5000.0</v>
      </c>
      <c r="F150" s="81"/>
      <c r="G150" s="81"/>
    </row>
    <row r="151">
      <c r="A151" s="81" t="s">
        <v>734</v>
      </c>
      <c r="B151" s="140">
        <v>45986.0</v>
      </c>
      <c r="C151" s="141" t="s">
        <v>837</v>
      </c>
      <c r="D151" s="142">
        <v>285.0</v>
      </c>
      <c r="E151" s="143"/>
      <c r="F151" s="81"/>
      <c r="G151" s="81"/>
    </row>
    <row r="152">
      <c r="A152" s="81" t="s">
        <v>841</v>
      </c>
      <c r="B152" s="140">
        <v>45987.0</v>
      </c>
      <c r="C152" s="141" t="s">
        <v>831</v>
      </c>
      <c r="D152" s="142"/>
      <c r="E152" s="143">
        <v>410.0</v>
      </c>
      <c r="F152" s="81"/>
      <c r="G152" s="81"/>
    </row>
    <row r="153">
      <c r="A153" s="81" t="s">
        <v>716</v>
      </c>
      <c r="B153" s="140">
        <v>45986.0</v>
      </c>
      <c r="C153" s="141" t="s">
        <v>835</v>
      </c>
      <c r="D153" s="142">
        <v>500.0</v>
      </c>
      <c r="E153" s="143"/>
      <c r="F153" s="81"/>
      <c r="G153" s="81"/>
    </row>
    <row r="154">
      <c r="A154" s="81" t="s">
        <v>746</v>
      </c>
      <c r="B154" s="140">
        <v>45986.0</v>
      </c>
      <c r="C154" s="141" t="s">
        <v>834</v>
      </c>
      <c r="D154" s="142">
        <v>2500.0</v>
      </c>
      <c r="E154" s="143"/>
      <c r="F154" s="81"/>
      <c r="G154" s="81"/>
    </row>
    <row r="155">
      <c r="A155" s="81" t="s">
        <v>820</v>
      </c>
      <c r="B155" s="140">
        <v>45986.0</v>
      </c>
      <c r="C155" s="141" t="s">
        <v>833</v>
      </c>
      <c r="D155" s="142">
        <v>861.86</v>
      </c>
      <c r="E155" s="143"/>
      <c r="F155" s="81"/>
      <c r="G155" s="81"/>
    </row>
    <row r="156">
      <c r="A156" s="81" t="s">
        <v>821</v>
      </c>
      <c r="B156" s="140">
        <v>45986.0</v>
      </c>
      <c r="C156" s="141" t="s">
        <v>836</v>
      </c>
      <c r="D156" s="142">
        <v>1500.0</v>
      </c>
      <c r="E156" s="143"/>
      <c r="F156" s="81"/>
      <c r="G156" s="81"/>
    </row>
    <row r="157">
      <c r="A157" s="81" t="s">
        <v>777</v>
      </c>
      <c r="B157" s="140">
        <v>45986.0</v>
      </c>
      <c r="C157" s="141" t="s">
        <v>831</v>
      </c>
      <c r="D157" s="142">
        <v>6000.0</v>
      </c>
      <c r="E157" s="143"/>
      <c r="F157" s="81"/>
      <c r="G157" s="81"/>
    </row>
    <row r="158">
      <c r="A158" s="81" t="s">
        <v>842</v>
      </c>
      <c r="B158" s="140">
        <v>45984.0</v>
      </c>
      <c r="C158" s="141" t="s">
        <v>831</v>
      </c>
      <c r="D158" s="142"/>
      <c r="E158" s="143">
        <v>1150.0</v>
      </c>
      <c r="F158" s="81"/>
      <c r="G158" s="81"/>
    </row>
    <row r="159">
      <c r="A159" s="81" t="s">
        <v>734</v>
      </c>
      <c r="B159" s="140">
        <v>45980.0</v>
      </c>
      <c r="C159" s="141" t="s">
        <v>837</v>
      </c>
      <c r="D159" s="142">
        <v>143.0</v>
      </c>
      <c r="E159" s="143"/>
      <c r="F159" s="81"/>
      <c r="G159" s="81"/>
    </row>
    <row r="160">
      <c r="A160" s="81" t="s">
        <v>843</v>
      </c>
      <c r="B160" s="140">
        <v>45966.0</v>
      </c>
      <c r="C160" s="141" t="s">
        <v>834</v>
      </c>
      <c r="D160" s="142"/>
      <c r="E160" s="143">
        <v>1456.0</v>
      </c>
      <c r="F160" s="81"/>
      <c r="G160" s="81"/>
    </row>
    <row r="161">
      <c r="A161" s="81" t="s">
        <v>734</v>
      </c>
      <c r="B161" s="140">
        <v>45973.0</v>
      </c>
      <c r="C161" s="141" t="s">
        <v>837</v>
      </c>
      <c r="D161" s="142">
        <v>285.0</v>
      </c>
      <c r="E161" s="143"/>
      <c r="F161" s="81"/>
      <c r="G161" s="81"/>
    </row>
    <row r="162">
      <c r="A162" s="81" t="s">
        <v>844</v>
      </c>
      <c r="B162" s="140">
        <v>45970.0</v>
      </c>
      <c r="C162" s="141" t="s">
        <v>831</v>
      </c>
      <c r="D162" s="142"/>
      <c r="E162" s="143">
        <v>500.0</v>
      </c>
      <c r="F162" s="81"/>
      <c r="G162" s="81"/>
    </row>
    <row r="163">
      <c r="A163" s="81" t="s">
        <v>734</v>
      </c>
      <c r="B163" s="140">
        <v>45965.0</v>
      </c>
      <c r="C163" s="141" t="s">
        <v>837</v>
      </c>
      <c r="D163" s="142">
        <v>148.0</v>
      </c>
      <c r="E163" s="143"/>
      <c r="F163" s="81"/>
      <c r="G163" s="81"/>
    </row>
    <row r="164">
      <c r="A164" s="81" t="s">
        <v>845</v>
      </c>
      <c r="B164" s="140">
        <v>45959.0</v>
      </c>
      <c r="C164" s="141" t="s">
        <v>846</v>
      </c>
      <c r="D164" s="142"/>
      <c r="E164" s="143">
        <v>716.0</v>
      </c>
      <c r="F164" s="81"/>
      <c r="G164" s="81"/>
    </row>
    <row r="165">
      <c r="A165" s="81" t="s">
        <v>734</v>
      </c>
      <c r="B165" s="140">
        <v>45958.0</v>
      </c>
      <c r="C165" s="141" t="s">
        <v>837</v>
      </c>
      <c r="D165" s="142">
        <v>285.0</v>
      </c>
      <c r="E165" s="143"/>
      <c r="F165" s="81"/>
      <c r="G165" s="81"/>
    </row>
    <row r="166">
      <c r="A166" s="81" t="s">
        <v>847</v>
      </c>
      <c r="B166" s="140">
        <v>45957.0</v>
      </c>
      <c r="C166" s="141" t="s">
        <v>834</v>
      </c>
      <c r="D166" s="142"/>
      <c r="E166" s="143">
        <v>1883.2</v>
      </c>
      <c r="F166" s="81"/>
      <c r="G166" s="81"/>
    </row>
    <row r="167">
      <c r="A167" s="81" t="s">
        <v>607</v>
      </c>
      <c r="B167" s="140">
        <v>45956.0</v>
      </c>
      <c r="C167" s="141" t="s">
        <v>834</v>
      </c>
      <c r="D167" s="142"/>
      <c r="E167" s="143">
        <v>1000.0</v>
      </c>
      <c r="F167" s="81"/>
      <c r="G167" s="81"/>
    </row>
    <row r="168">
      <c r="A168" s="81" t="s">
        <v>746</v>
      </c>
      <c r="B168" s="140">
        <v>45954.0</v>
      </c>
      <c r="C168" s="141" t="s">
        <v>834</v>
      </c>
      <c r="D168" s="142">
        <v>3000.0</v>
      </c>
      <c r="E168" s="143"/>
      <c r="F168" s="81"/>
      <c r="G168" s="81"/>
    </row>
    <row r="169">
      <c r="A169" s="81" t="s">
        <v>777</v>
      </c>
      <c r="B169" s="140">
        <v>45954.0</v>
      </c>
      <c r="C169" s="141" t="s">
        <v>831</v>
      </c>
      <c r="D169" s="142">
        <v>5561.86</v>
      </c>
      <c r="E169" s="143"/>
      <c r="F169" s="81"/>
      <c r="G169" s="81"/>
    </row>
    <row r="170">
      <c r="A170" s="81" t="s">
        <v>734</v>
      </c>
      <c r="B170" s="140">
        <v>45954.0</v>
      </c>
      <c r="C170" s="141" t="s">
        <v>837</v>
      </c>
      <c r="D170" s="142">
        <v>500.0</v>
      </c>
      <c r="E170" s="143"/>
      <c r="F170" s="81"/>
      <c r="G170" s="81"/>
    </row>
    <row r="171">
      <c r="A171" s="81" t="s">
        <v>848</v>
      </c>
      <c r="B171" s="140">
        <v>45954.0</v>
      </c>
      <c r="C171" s="141" t="s">
        <v>831</v>
      </c>
      <c r="D171" s="142"/>
      <c r="E171" s="143">
        <v>2500.0</v>
      </c>
      <c r="F171" s="81"/>
      <c r="G171" s="81"/>
    </row>
    <row r="172">
      <c r="A172" s="81" t="s">
        <v>849</v>
      </c>
      <c r="B172" s="140">
        <v>45954.0</v>
      </c>
      <c r="C172" s="141" t="s">
        <v>836</v>
      </c>
      <c r="D172" s="142">
        <v>750.0</v>
      </c>
      <c r="E172" s="143"/>
      <c r="F172" s="81"/>
      <c r="G172" s="81"/>
    </row>
    <row r="173">
      <c r="A173" s="81" t="s">
        <v>850</v>
      </c>
      <c r="B173" s="140">
        <v>45948.0</v>
      </c>
      <c r="C173" s="141" t="s">
        <v>831</v>
      </c>
      <c r="D173" s="142"/>
      <c r="E173" s="143">
        <v>1284.0</v>
      </c>
      <c r="F173" s="81"/>
      <c r="G173" s="81"/>
    </row>
    <row r="174">
      <c r="A174" s="81" t="s">
        <v>851</v>
      </c>
      <c r="B174" s="140">
        <v>45949.0</v>
      </c>
      <c r="C174" s="141" t="s">
        <v>831</v>
      </c>
      <c r="D174" s="142"/>
      <c r="E174" s="143">
        <v>1174.0</v>
      </c>
      <c r="F174" s="81"/>
      <c r="G174" s="81"/>
    </row>
    <row r="175">
      <c r="A175" s="81" t="s">
        <v>852</v>
      </c>
      <c r="B175" s="140">
        <v>45950.0</v>
      </c>
      <c r="C175" s="141" t="s">
        <v>831</v>
      </c>
      <c r="D175" s="142"/>
      <c r="E175" s="143">
        <v>7436.0</v>
      </c>
      <c r="F175" s="81"/>
      <c r="G175" s="81"/>
    </row>
    <row r="176">
      <c r="A176" s="81" t="s">
        <v>853</v>
      </c>
      <c r="B176" s="140">
        <v>45950.0</v>
      </c>
      <c r="C176" s="141" t="s">
        <v>835</v>
      </c>
      <c r="D176" s="142"/>
      <c r="E176" s="143">
        <f>3000-964</f>
        <v>2036</v>
      </c>
      <c r="F176" s="81"/>
      <c r="G176" s="81"/>
    </row>
    <row r="177">
      <c r="A177" s="81" t="s">
        <v>854</v>
      </c>
      <c r="B177" s="140">
        <v>45949.0</v>
      </c>
      <c r="C177" s="141" t="s">
        <v>831</v>
      </c>
      <c r="D177" s="142"/>
      <c r="E177" s="143">
        <v>1200.0</v>
      </c>
      <c r="F177" s="81"/>
      <c r="G177" s="81"/>
    </row>
    <row r="178">
      <c r="A178" s="81" t="s">
        <v>855</v>
      </c>
      <c r="B178" s="140">
        <v>45937.0</v>
      </c>
      <c r="C178" s="141" t="s">
        <v>831</v>
      </c>
      <c r="D178" s="142"/>
      <c r="E178" s="143">
        <v>250.0</v>
      </c>
      <c r="F178" s="81"/>
      <c r="G178" s="81"/>
    </row>
    <row r="179">
      <c r="A179" s="81" t="s">
        <v>856</v>
      </c>
      <c r="B179" s="140">
        <v>45943.0</v>
      </c>
      <c r="C179" s="141" t="s">
        <v>831</v>
      </c>
      <c r="D179" s="142"/>
      <c r="E179" s="143">
        <v>750.0</v>
      </c>
      <c r="F179" s="81"/>
      <c r="G179" s="81"/>
    </row>
    <row r="180">
      <c r="A180" s="81" t="s">
        <v>857</v>
      </c>
      <c r="B180" s="140">
        <v>45943.0</v>
      </c>
      <c r="C180" s="141" t="s">
        <v>831</v>
      </c>
      <c r="D180" s="142"/>
      <c r="E180" s="143">
        <v>200.0</v>
      </c>
      <c r="F180" s="81"/>
      <c r="G180" s="81"/>
    </row>
    <row r="181">
      <c r="A181" s="81" t="s">
        <v>734</v>
      </c>
      <c r="B181" s="140">
        <v>45938.0</v>
      </c>
      <c r="C181" s="141" t="s">
        <v>837</v>
      </c>
      <c r="D181" s="142">
        <v>285.0</v>
      </c>
      <c r="E181" s="143"/>
      <c r="F181" s="81"/>
      <c r="G181" s="81"/>
    </row>
    <row r="182">
      <c r="A182" s="81" t="s">
        <v>69</v>
      </c>
      <c r="B182" s="140">
        <v>45938.0</v>
      </c>
      <c r="C182" s="141" t="s">
        <v>831</v>
      </c>
      <c r="D182" s="142"/>
      <c r="E182" s="143">
        <v>415.0</v>
      </c>
      <c r="F182" s="81"/>
      <c r="G182" s="81"/>
    </row>
    <row r="183">
      <c r="A183" s="81" t="s">
        <v>858</v>
      </c>
      <c r="B183" s="140">
        <v>45938.0</v>
      </c>
      <c r="C183" s="141" t="s">
        <v>831</v>
      </c>
      <c r="D183" s="142"/>
      <c r="E183" s="143">
        <v>2000.0</v>
      </c>
      <c r="F183" s="81"/>
      <c r="G183" s="81"/>
    </row>
    <row r="184">
      <c r="A184" s="81" t="s">
        <v>859</v>
      </c>
      <c r="B184" s="140">
        <v>45938.0</v>
      </c>
      <c r="C184" s="141" t="s">
        <v>831</v>
      </c>
      <c r="D184" s="142"/>
      <c r="E184" s="143">
        <v>838.16</v>
      </c>
      <c r="F184" s="81"/>
      <c r="G184" s="81"/>
    </row>
    <row r="185">
      <c r="A185" s="81" t="s">
        <v>860</v>
      </c>
      <c r="B185" s="140">
        <v>45938.0</v>
      </c>
      <c r="C185" s="141" t="s">
        <v>834</v>
      </c>
      <c r="D185" s="142"/>
      <c r="E185" s="143">
        <v>1456.0</v>
      </c>
      <c r="F185" s="81"/>
      <c r="G185" s="81"/>
    </row>
    <row r="186">
      <c r="A186" s="81" t="s">
        <v>716</v>
      </c>
      <c r="B186" s="140">
        <v>45925.0</v>
      </c>
      <c r="C186" s="141" t="s">
        <v>835</v>
      </c>
      <c r="D186" s="142">
        <v>1500.0</v>
      </c>
      <c r="E186" s="143"/>
      <c r="F186" s="81"/>
      <c r="G186" s="81"/>
    </row>
    <row r="187">
      <c r="A187" s="81" t="s">
        <v>746</v>
      </c>
      <c r="B187" s="140">
        <v>45925.0</v>
      </c>
      <c r="C187" s="141" t="s">
        <v>834</v>
      </c>
      <c r="D187" s="142">
        <v>3000.0</v>
      </c>
      <c r="E187" s="143"/>
      <c r="F187" s="81"/>
      <c r="G187" s="81"/>
    </row>
    <row r="188">
      <c r="A188" s="81" t="s">
        <v>777</v>
      </c>
      <c r="B188" s="140">
        <v>45925.0</v>
      </c>
      <c r="C188" s="141" t="s">
        <v>831</v>
      </c>
      <c r="D188" s="142">
        <v>5561.86</v>
      </c>
      <c r="E188" s="143"/>
      <c r="F188" s="81"/>
      <c r="G188" s="81"/>
    </row>
    <row r="189">
      <c r="A189" s="81" t="s">
        <v>734</v>
      </c>
      <c r="B189" s="140">
        <v>45925.0</v>
      </c>
      <c r="C189" s="141" t="s">
        <v>837</v>
      </c>
      <c r="D189" s="142">
        <v>500.0</v>
      </c>
      <c r="E189" s="143"/>
      <c r="F189" s="81"/>
      <c r="G189" s="81"/>
    </row>
    <row r="190">
      <c r="A190" s="81" t="s">
        <v>717</v>
      </c>
      <c r="B190" s="140">
        <v>45925.0</v>
      </c>
      <c r="C190" s="141" t="s">
        <v>836</v>
      </c>
      <c r="D190" s="142">
        <v>750.0</v>
      </c>
      <c r="E190" s="143"/>
      <c r="F190" s="81"/>
      <c r="G190" s="81"/>
    </row>
    <row r="191">
      <c r="A191" s="81" t="s">
        <v>734</v>
      </c>
      <c r="B191" s="140">
        <v>45923.0</v>
      </c>
      <c r="C191" s="141" t="s">
        <v>837</v>
      </c>
      <c r="D191" s="142">
        <v>143.0</v>
      </c>
      <c r="E191" s="143"/>
      <c r="F191" s="81"/>
      <c r="G191" s="81"/>
    </row>
    <row r="192">
      <c r="A192" s="81" t="s">
        <v>861</v>
      </c>
      <c r="B192" s="140">
        <v>45924.0</v>
      </c>
      <c r="C192" s="141" t="s">
        <v>831</v>
      </c>
      <c r="D192" s="142"/>
      <c r="E192" s="143">
        <v>157.0</v>
      </c>
      <c r="F192" s="81"/>
      <c r="G192" s="81"/>
    </row>
    <row r="193">
      <c r="A193" s="81" t="s">
        <v>862</v>
      </c>
      <c r="B193" s="140">
        <v>45924.0</v>
      </c>
      <c r="C193" s="141" t="s">
        <v>831</v>
      </c>
      <c r="D193" s="142"/>
      <c r="E193" s="143">
        <v>666.0</v>
      </c>
      <c r="F193" s="81"/>
      <c r="G193" s="81"/>
    </row>
    <row r="194">
      <c r="A194" s="81" t="s">
        <v>863</v>
      </c>
      <c r="B194" s="140">
        <v>45924.0</v>
      </c>
      <c r="C194" s="141" t="s">
        <v>831</v>
      </c>
      <c r="D194" s="142"/>
      <c r="E194" s="143">
        <v>173.82</v>
      </c>
      <c r="F194" s="81"/>
      <c r="G194" s="81"/>
    </row>
    <row r="195">
      <c r="A195" s="81" t="s">
        <v>864</v>
      </c>
      <c r="B195" s="140">
        <v>45924.0</v>
      </c>
      <c r="C195" s="141" t="s">
        <v>831</v>
      </c>
      <c r="D195" s="142"/>
      <c r="E195" s="143">
        <v>2500.0</v>
      </c>
      <c r="F195" s="81"/>
      <c r="G195" s="81"/>
    </row>
    <row r="196">
      <c r="A196" s="81" t="s">
        <v>865</v>
      </c>
      <c r="B196" s="140">
        <v>45920.0</v>
      </c>
      <c r="C196" s="141" t="s">
        <v>831</v>
      </c>
      <c r="D196" s="142"/>
      <c r="E196" s="143">
        <v>638.0</v>
      </c>
      <c r="F196" s="81"/>
      <c r="G196" s="81"/>
    </row>
    <row r="197">
      <c r="A197" s="81" t="s">
        <v>734</v>
      </c>
      <c r="B197" s="140">
        <v>45909.0</v>
      </c>
      <c r="C197" s="141" t="s">
        <v>837</v>
      </c>
      <c r="D197" s="142">
        <v>143.0</v>
      </c>
      <c r="E197" s="143"/>
      <c r="F197" s="81"/>
      <c r="G197" s="81"/>
    </row>
    <row r="198">
      <c r="A198" s="81" t="s">
        <v>734</v>
      </c>
      <c r="B198" s="140">
        <v>45917.0</v>
      </c>
      <c r="C198" s="141" t="s">
        <v>837</v>
      </c>
      <c r="D198" s="142">
        <v>427.0</v>
      </c>
      <c r="E198" s="143"/>
      <c r="F198" s="81"/>
      <c r="G198" s="81"/>
    </row>
    <row r="199">
      <c r="A199" s="81" t="s">
        <v>523</v>
      </c>
      <c r="B199" s="140">
        <v>45910.0</v>
      </c>
      <c r="C199" s="141" t="s">
        <v>831</v>
      </c>
      <c r="D199" s="142"/>
      <c r="E199" s="143">
        <v>1116.04</v>
      </c>
      <c r="F199" s="81"/>
      <c r="G199" s="81"/>
    </row>
    <row r="200">
      <c r="A200" s="81" t="s">
        <v>866</v>
      </c>
      <c r="B200" s="140">
        <v>45907.0</v>
      </c>
      <c r="C200" s="141" t="s">
        <v>831</v>
      </c>
      <c r="D200" s="142"/>
      <c r="E200" s="143">
        <v>1100.0</v>
      </c>
      <c r="F200" s="81"/>
      <c r="G200" s="81"/>
    </row>
    <row r="201">
      <c r="A201" s="81" t="s">
        <v>867</v>
      </c>
      <c r="B201" s="140">
        <v>45906.0</v>
      </c>
      <c r="C201" s="141" t="s">
        <v>834</v>
      </c>
      <c r="D201" s="142"/>
      <c r="E201" s="143">
        <v>1433.9</v>
      </c>
      <c r="F201" s="81"/>
      <c r="G201" s="81"/>
    </row>
    <row r="202">
      <c r="A202" s="81" t="s">
        <v>868</v>
      </c>
      <c r="B202" s="140">
        <v>45894.0</v>
      </c>
      <c r="C202" s="141" t="s">
        <v>832</v>
      </c>
      <c r="D202" s="142"/>
      <c r="E202" s="143">
        <v>9000.0</v>
      </c>
      <c r="F202" s="81"/>
      <c r="G202" s="81"/>
    </row>
    <row r="203">
      <c r="A203" s="81" t="s">
        <v>869</v>
      </c>
      <c r="B203" s="140">
        <v>45899.0</v>
      </c>
      <c r="C203" s="141" t="s">
        <v>831</v>
      </c>
      <c r="D203" s="142"/>
      <c r="E203" s="143">
        <v>1319.0</v>
      </c>
      <c r="F203" s="81"/>
      <c r="G203" s="81"/>
    </row>
    <row r="204">
      <c r="A204" s="81" t="s">
        <v>734</v>
      </c>
      <c r="B204" s="140">
        <v>45896.0</v>
      </c>
      <c r="C204" s="141" t="s">
        <v>837</v>
      </c>
      <c r="D204" s="142">
        <v>143.0</v>
      </c>
      <c r="E204" s="143"/>
      <c r="F204" s="81"/>
      <c r="G204" s="81"/>
    </row>
    <row r="205">
      <c r="A205" s="81" t="s">
        <v>716</v>
      </c>
      <c r="B205" s="140">
        <v>45894.0</v>
      </c>
      <c r="C205" s="141" t="s">
        <v>835</v>
      </c>
      <c r="D205" s="142">
        <v>1500.0</v>
      </c>
      <c r="E205" s="143"/>
      <c r="F205" s="81"/>
      <c r="G205" s="81"/>
    </row>
    <row r="206">
      <c r="A206" s="81" t="s">
        <v>746</v>
      </c>
      <c r="B206" s="140">
        <v>45894.0</v>
      </c>
      <c r="C206" s="141" t="s">
        <v>834</v>
      </c>
      <c r="D206" s="142">
        <v>2200.0</v>
      </c>
      <c r="E206" s="143"/>
      <c r="F206" s="81"/>
      <c r="G206" s="81"/>
    </row>
    <row r="207">
      <c r="A207" s="81" t="s">
        <v>870</v>
      </c>
      <c r="B207" s="140">
        <v>45894.0</v>
      </c>
      <c r="C207" s="141" t="s">
        <v>832</v>
      </c>
      <c r="D207" s="142">
        <v>1100.0</v>
      </c>
      <c r="E207" s="143"/>
      <c r="F207" s="81"/>
      <c r="G207" s="81"/>
    </row>
    <row r="208">
      <c r="A208" s="81" t="s">
        <v>871</v>
      </c>
      <c r="B208" s="140">
        <v>45894.0</v>
      </c>
      <c r="C208" s="141" t="s">
        <v>833</v>
      </c>
      <c r="D208" s="142">
        <v>404.86</v>
      </c>
      <c r="E208" s="143"/>
      <c r="F208" s="81"/>
      <c r="G208" s="81"/>
    </row>
    <row r="209">
      <c r="A209" s="81" t="s">
        <v>872</v>
      </c>
      <c r="B209" s="140">
        <v>45894.0</v>
      </c>
      <c r="C209" s="141" t="s">
        <v>831</v>
      </c>
      <c r="D209" s="142">
        <v>750.0</v>
      </c>
      <c r="E209" s="143"/>
      <c r="F209" s="81"/>
      <c r="G209" s="81"/>
    </row>
    <row r="210">
      <c r="A210" s="81" t="s">
        <v>777</v>
      </c>
      <c r="B210" s="140">
        <v>45894.0</v>
      </c>
      <c r="C210" s="141" t="s">
        <v>831</v>
      </c>
      <c r="D210" s="142">
        <v>5500.0</v>
      </c>
      <c r="E210" s="143"/>
      <c r="F210" s="81"/>
      <c r="G210" s="81"/>
    </row>
    <row r="211">
      <c r="A211" s="81" t="s">
        <v>873</v>
      </c>
      <c r="B211" s="140">
        <v>45893.0</v>
      </c>
      <c r="C211" s="141" t="s">
        <v>831</v>
      </c>
      <c r="D211" s="142"/>
      <c r="E211" s="143">
        <v>726.0</v>
      </c>
      <c r="F211" s="81"/>
      <c r="G211" s="81"/>
    </row>
    <row r="212">
      <c r="A212" s="81" t="s">
        <v>777</v>
      </c>
      <c r="B212" s="140">
        <v>45893.0</v>
      </c>
      <c r="C212" s="141" t="s">
        <v>831</v>
      </c>
      <c r="D212" s="142">
        <v>10000.0</v>
      </c>
      <c r="E212" s="143"/>
      <c r="F212" s="81"/>
      <c r="G212" s="81"/>
    </row>
    <row r="213">
      <c r="A213" s="81" t="s">
        <v>483</v>
      </c>
      <c r="B213" s="140">
        <v>45885.0</v>
      </c>
      <c r="C213" s="141" t="s">
        <v>831</v>
      </c>
      <c r="D213" s="142"/>
      <c r="E213" s="143">
        <v>690.0</v>
      </c>
      <c r="F213" s="81"/>
      <c r="G213" s="81"/>
    </row>
    <row r="214">
      <c r="A214" s="81" t="s">
        <v>874</v>
      </c>
      <c r="B214" s="140">
        <v>45882.0</v>
      </c>
      <c r="C214" s="141" t="s">
        <v>831</v>
      </c>
      <c r="D214" s="142">
        <f>500+444</f>
        <v>944</v>
      </c>
      <c r="E214" s="143"/>
      <c r="F214" s="81"/>
      <c r="G214" s="81"/>
    </row>
    <row r="215">
      <c r="A215" s="81" t="s">
        <v>479</v>
      </c>
      <c r="B215" s="140">
        <v>45882.0</v>
      </c>
      <c r="C215" s="141" t="s">
        <v>831</v>
      </c>
      <c r="D215" s="142"/>
      <c r="E215" s="143">
        <v>914.5</v>
      </c>
      <c r="F215" s="81"/>
      <c r="G215" s="81"/>
    </row>
    <row r="216">
      <c r="A216" s="81" t="s">
        <v>875</v>
      </c>
      <c r="B216" s="140">
        <v>45881.0</v>
      </c>
      <c r="C216" s="141" t="s">
        <v>831</v>
      </c>
      <c r="D216" s="142"/>
      <c r="E216" s="143">
        <v>1600.0</v>
      </c>
      <c r="F216" s="81"/>
      <c r="G216" s="81"/>
    </row>
    <row r="217">
      <c r="A217" s="81" t="s">
        <v>876</v>
      </c>
      <c r="B217" s="140">
        <v>45878.0</v>
      </c>
      <c r="C217" s="141" t="s">
        <v>834</v>
      </c>
      <c r="D217" s="142"/>
      <c r="E217" s="143">
        <v>1456.0</v>
      </c>
      <c r="F217" s="81"/>
      <c r="G217" s="81"/>
    </row>
    <row r="218">
      <c r="A218" s="81" t="s">
        <v>877</v>
      </c>
      <c r="B218" s="140">
        <v>45874.0</v>
      </c>
      <c r="C218" s="141" t="s">
        <v>831</v>
      </c>
      <c r="D218" s="142">
        <v>885.0</v>
      </c>
      <c r="E218" s="143"/>
      <c r="F218" s="81"/>
      <c r="G218" s="81"/>
    </row>
    <row r="219">
      <c r="A219" s="81" t="s">
        <v>878</v>
      </c>
      <c r="B219" s="140">
        <v>45870.0</v>
      </c>
      <c r="C219" s="141" t="s">
        <v>831</v>
      </c>
      <c r="D219" s="142"/>
      <c r="E219" s="143">
        <v>2500.0</v>
      </c>
      <c r="F219" s="81"/>
      <c r="G219" s="81"/>
    </row>
    <row r="220">
      <c r="A220" s="81" t="s">
        <v>825</v>
      </c>
      <c r="B220" s="140">
        <v>45874.0</v>
      </c>
      <c r="C220" s="141" t="s">
        <v>831</v>
      </c>
      <c r="D220" s="142"/>
      <c r="E220" s="143">
        <v>1216.0</v>
      </c>
      <c r="F220" s="81"/>
      <c r="G220" s="81"/>
    </row>
    <row r="221">
      <c r="A221" s="81" t="s">
        <v>879</v>
      </c>
      <c r="B221" s="140">
        <v>45865.0</v>
      </c>
      <c r="C221" s="141" t="s">
        <v>831</v>
      </c>
      <c r="D221" s="142"/>
      <c r="E221" s="143">
        <v>1492.0</v>
      </c>
      <c r="F221" s="81"/>
      <c r="G221" s="81"/>
    </row>
    <row r="222">
      <c r="A222" s="81" t="s">
        <v>880</v>
      </c>
      <c r="B222" s="140">
        <v>45863.0</v>
      </c>
      <c r="C222" s="141" t="s">
        <v>831</v>
      </c>
      <c r="D222" s="142"/>
      <c r="E222" s="143">
        <v>3315.0</v>
      </c>
      <c r="F222" s="81"/>
      <c r="G222" s="81"/>
    </row>
    <row r="223">
      <c r="A223" s="81" t="s">
        <v>820</v>
      </c>
      <c r="B223" s="140">
        <v>45863.0</v>
      </c>
      <c r="C223" s="141" t="s">
        <v>833</v>
      </c>
      <c r="D223" s="142">
        <v>1239.5</v>
      </c>
      <c r="E223" s="143"/>
      <c r="F223" s="81"/>
      <c r="G223" s="81"/>
    </row>
    <row r="224">
      <c r="A224" s="81" t="s">
        <v>746</v>
      </c>
      <c r="B224" s="140">
        <v>45863.0</v>
      </c>
      <c r="C224" s="141" t="s">
        <v>834</v>
      </c>
      <c r="D224" s="142">
        <v>2500.0</v>
      </c>
      <c r="E224" s="143"/>
      <c r="F224" s="81"/>
      <c r="G224" s="81"/>
    </row>
    <row r="225">
      <c r="A225" s="81" t="s">
        <v>777</v>
      </c>
      <c r="B225" s="140">
        <v>45863.0</v>
      </c>
      <c r="C225" s="141" t="s">
        <v>831</v>
      </c>
      <c r="D225" s="142">
        <v>5000.0</v>
      </c>
      <c r="E225" s="143"/>
      <c r="F225" s="81"/>
      <c r="G225" s="81"/>
    </row>
    <row r="226">
      <c r="A226" s="81" t="s">
        <v>881</v>
      </c>
      <c r="B226" s="140">
        <v>45862.0</v>
      </c>
      <c r="C226" s="141" t="s">
        <v>831</v>
      </c>
      <c r="D226" s="142">
        <v>2461.0</v>
      </c>
      <c r="E226" s="143"/>
      <c r="F226" s="81"/>
      <c r="G226" s="81"/>
    </row>
    <row r="227">
      <c r="A227" s="81" t="s">
        <v>882</v>
      </c>
      <c r="B227" s="140">
        <v>45856.0</v>
      </c>
      <c r="C227" s="141" t="s">
        <v>831</v>
      </c>
      <c r="D227" s="142"/>
      <c r="E227" s="143">
        <v>2065.3</v>
      </c>
      <c r="F227" s="81"/>
      <c r="G227" s="81"/>
    </row>
    <row r="228">
      <c r="A228" s="81" t="s">
        <v>883</v>
      </c>
      <c r="B228" s="140">
        <v>45856.0</v>
      </c>
      <c r="C228" s="141" t="s">
        <v>831</v>
      </c>
      <c r="D228" s="142"/>
      <c r="E228" s="143">
        <v>1000.0</v>
      </c>
      <c r="F228" s="81"/>
      <c r="G228" s="81"/>
    </row>
    <row r="229">
      <c r="A229" s="81" t="s">
        <v>884</v>
      </c>
      <c r="B229" s="140">
        <v>45853.0</v>
      </c>
      <c r="C229" s="141" t="s">
        <v>831</v>
      </c>
      <c r="D229" s="142"/>
      <c r="E229" s="143">
        <v>2000.0</v>
      </c>
      <c r="F229" s="81"/>
      <c r="G229" s="81"/>
    </row>
    <row r="230">
      <c r="A230" s="81" t="s">
        <v>885</v>
      </c>
      <c r="B230" s="140">
        <v>45847.0</v>
      </c>
      <c r="C230" s="141" t="s">
        <v>837</v>
      </c>
      <c r="D230" s="142">
        <v>143.0</v>
      </c>
      <c r="E230" s="143"/>
      <c r="F230" s="81"/>
      <c r="G230" s="81"/>
    </row>
    <row r="231">
      <c r="A231" s="81" t="s">
        <v>884</v>
      </c>
      <c r="B231" s="140">
        <v>45852.0</v>
      </c>
      <c r="C231" s="141" t="s">
        <v>831</v>
      </c>
      <c r="D231" s="142"/>
      <c r="E231" s="143">
        <v>1500.0</v>
      </c>
      <c r="F231" s="81"/>
      <c r="G231" s="81"/>
    </row>
    <row r="232">
      <c r="A232" s="81" t="s">
        <v>886</v>
      </c>
      <c r="B232" s="140">
        <v>45844.0</v>
      </c>
      <c r="C232" s="141" t="s">
        <v>831</v>
      </c>
      <c r="D232" s="142"/>
      <c r="E232" s="143">
        <v>649.0</v>
      </c>
      <c r="F232" s="81"/>
      <c r="G232" s="81"/>
    </row>
    <row r="233">
      <c r="A233" s="81" t="s">
        <v>887</v>
      </c>
      <c r="B233" s="140">
        <v>45842.0</v>
      </c>
      <c r="C233" s="141" t="s">
        <v>831</v>
      </c>
      <c r="D233" s="142"/>
      <c r="E233" s="143">
        <v>506.0</v>
      </c>
      <c r="F233" s="81"/>
      <c r="G233" s="81"/>
    </row>
    <row r="234">
      <c r="A234" s="81" t="s">
        <v>362</v>
      </c>
      <c r="B234" s="140">
        <v>45843.0</v>
      </c>
      <c r="C234" s="141" t="s">
        <v>831</v>
      </c>
      <c r="D234" s="142"/>
      <c r="E234" s="143">
        <v>128.0</v>
      </c>
      <c r="F234" s="81"/>
      <c r="G234" s="81"/>
    </row>
    <row r="235">
      <c r="A235" s="81" t="s">
        <v>885</v>
      </c>
      <c r="B235" s="140">
        <v>45839.0</v>
      </c>
      <c r="C235" s="141" t="s">
        <v>837</v>
      </c>
      <c r="D235" s="142">
        <v>143.0</v>
      </c>
      <c r="E235" s="143"/>
      <c r="F235" s="81"/>
      <c r="G235" s="81"/>
    </row>
    <row r="236">
      <c r="A236" s="81" t="s">
        <v>348</v>
      </c>
      <c r="B236" s="140">
        <v>45838.0</v>
      </c>
      <c r="C236" s="141" t="s">
        <v>834</v>
      </c>
      <c r="D236" s="142"/>
      <c r="E236" s="143">
        <v>930.5</v>
      </c>
      <c r="F236" s="81"/>
      <c r="G236" s="81"/>
    </row>
    <row r="237">
      <c r="A237" s="81" t="s">
        <v>888</v>
      </c>
      <c r="B237" s="140">
        <v>45836.0</v>
      </c>
      <c r="C237" s="141" t="s">
        <v>831</v>
      </c>
      <c r="D237" s="142"/>
      <c r="E237" s="143">
        <v>1916.0</v>
      </c>
      <c r="F237" s="81"/>
      <c r="G237" s="81"/>
    </row>
    <row r="238">
      <c r="A238" s="81" t="s">
        <v>889</v>
      </c>
      <c r="B238" s="140">
        <v>45836.0</v>
      </c>
      <c r="C238" s="141" t="s">
        <v>831</v>
      </c>
      <c r="D238" s="142"/>
      <c r="E238" s="143">
        <v>56.0</v>
      </c>
      <c r="F238" s="81"/>
      <c r="G238" s="81"/>
    </row>
    <row r="239">
      <c r="A239" s="81" t="s">
        <v>890</v>
      </c>
      <c r="B239" s="140">
        <v>45836.0</v>
      </c>
      <c r="C239" s="141" t="s">
        <v>834</v>
      </c>
      <c r="D239" s="142"/>
      <c r="E239" s="143">
        <v>962.0</v>
      </c>
      <c r="F239" s="81"/>
      <c r="G239" s="81"/>
    </row>
    <row r="240">
      <c r="A240" s="81" t="s">
        <v>337</v>
      </c>
      <c r="B240" s="140">
        <v>45836.0</v>
      </c>
      <c r="C240" s="141" t="s">
        <v>834</v>
      </c>
      <c r="D240" s="142"/>
      <c r="E240" s="143">
        <v>422.05</v>
      </c>
      <c r="F240" s="81"/>
      <c r="G240" s="81"/>
    </row>
    <row r="241">
      <c r="A241" s="81" t="s">
        <v>891</v>
      </c>
      <c r="B241" s="140">
        <v>45836.0</v>
      </c>
      <c r="C241" s="141" t="s">
        <v>831</v>
      </c>
      <c r="D241" s="142"/>
      <c r="E241" s="143">
        <v>1411.62</v>
      </c>
      <c r="F241" s="81"/>
      <c r="G241" s="81"/>
    </row>
    <row r="242">
      <c r="A242" s="81" t="s">
        <v>892</v>
      </c>
      <c r="B242" s="140">
        <v>45835.0</v>
      </c>
      <c r="C242" s="141" t="s">
        <v>831</v>
      </c>
      <c r="D242" s="142">
        <f>1000+242</f>
        <v>1242</v>
      </c>
      <c r="E242" s="143"/>
      <c r="F242" s="81"/>
      <c r="G242" s="81"/>
    </row>
    <row r="243">
      <c r="A243" s="81" t="s">
        <v>885</v>
      </c>
      <c r="B243" s="140">
        <v>45834.0</v>
      </c>
      <c r="C243" s="141" t="s">
        <v>837</v>
      </c>
      <c r="D243" s="142">
        <v>143.0</v>
      </c>
      <c r="E243" s="143"/>
      <c r="F243" s="81"/>
      <c r="G243" s="81"/>
    </row>
    <row r="244">
      <c r="A244" s="81" t="s">
        <v>746</v>
      </c>
      <c r="B244" s="140">
        <v>45833.0</v>
      </c>
      <c r="C244" s="141" t="s">
        <v>834</v>
      </c>
      <c r="D244" s="142">
        <v>2000.0</v>
      </c>
      <c r="E244" s="143"/>
      <c r="F244" s="81"/>
      <c r="G244" s="81"/>
    </row>
    <row r="245">
      <c r="A245" s="81" t="s">
        <v>777</v>
      </c>
      <c r="B245" s="140">
        <v>45833.0</v>
      </c>
      <c r="C245" s="141" t="s">
        <v>831</v>
      </c>
      <c r="D245" s="142">
        <v>4413.86</v>
      </c>
      <c r="E245" s="143"/>
      <c r="F245" s="81"/>
      <c r="G245" s="81"/>
    </row>
    <row r="246">
      <c r="A246" s="81" t="s">
        <v>893</v>
      </c>
      <c r="B246" s="140">
        <v>45831.0</v>
      </c>
      <c r="C246" s="141" t="s">
        <v>831</v>
      </c>
      <c r="D246" s="142"/>
      <c r="E246" s="143">
        <v>1000.0</v>
      </c>
      <c r="F246" s="81"/>
      <c r="G246" s="81"/>
    </row>
    <row r="247">
      <c r="A247" s="81" t="s">
        <v>893</v>
      </c>
      <c r="B247" s="140">
        <v>45829.0</v>
      </c>
      <c r="C247" s="141" t="s">
        <v>831</v>
      </c>
      <c r="D247" s="142"/>
      <c r="E247" s="143">
        <v>1000.0</v>
      </c>
      <c r="F247" s="81"/>
      <c r="G247" s="81"/>
    </row>
    <row r="248">
      <c r="A248" s="81" t="s">
        <v>894</v>
      </c>
      <c r="B248" s="140">
        <v>45825.0</v>
      </c>
      <c r="C248" s="141" t="s">
        <v>837</v>
      </c>
      <c r="D248" s="142">
        <v>286.0</v>
      </c>
      <c r="E248" s="143"/>
      <c r="F248" s="81"/>
      <c r="G248" s="81"/>
    </row>
    <row r="249">
      <c r="A249" s="81" t="s">
        <v>895</v>
      </c>
      <c r="B249" s="140">
        <v>45825.0</v>
      </c>
      <c r="C249" s="141" t="s">
        <v>834</v>
      </c>
      <c r="D249" s="142"/>
      <c r="E249" s="143">
        <v>1000.0</v>
      </c>
      <c r="F249" s="81"/>
      <c r="G249" s="81"/>
    </row>
    <row r="250">
      <c r="A250" s="81" t="s">
        <v>896</v>
      </c>
      <c r="B250" s="140">
        <v>45824.0</v>
      </c>
      <c r="C250" s="141" t="s">
        <v>831</v>
      </c>
      <c r="D250" s="142"/>
      <c r="E250" s="143">
        <f>955.95-200</f>
        <v>755.95</v>
      </c>
      <c r="F250" s="81"/>
      <c r="G250" s="81"/>
    </row>
    <row r="251">
      <c r="A251" s="81" t="s">
        <v>897</v>
      </c>
      <c r="B251" s="140">
        <v>45822.0</v>
      </c>
      <c r="C251" s="141" t="s">
        <v>831</v>
      </c>
      <c r="D251" s="142"/>
      <c r="E251" s="143">
        <v>1030.0</v>
      </c>
      <c r="F251" s="81"/>
      <c r="G251" s="81"/>
    </row>
    <row r="252">
      <c r="A252" s="81" t="s">
        <v>898</v>
      </c>
      <c r="B252" s="140">
        <v>45818.0</v>
      </c>
      <c r="C252" s="141" t="s">
        <v>834</v>
      </c>
      <c r="D252" s="142"/>
      <c r="E252" s="143">
        <v>1456.0</v>
      </c>
      <c r="F252" s="81"/>
      <c r="G252" s="81"/>
    </row>
    <row r="253">
      <c r="A253" s="81" t="s">
        <v>746</v>
      </c>
      <c r="B253" s="140">
        <v>45818.0</v>
      </c>
      <c r="C253" s="141" t="s">
        <v>834</v>
      </c>
      <c r="D253" s="142">
        <v>500.0</v>
      </c>
      <c r="E253" s="143"/>
      <c r="F253" s="81"/>
      <c r="G253" s="81"/>
    </row>
    <row r="254">
      <c r="A254" s="81" t="s">
        <v>724</v>
      </c>
      <c r="B254" s="140">
        <v>45814.0</v>
      </c>
      <c r="C254" s="141" t="s">
        <v>834</v>
      </c>
      <c r="D254" s="142"/>
      <c r="E254" s="143">
        <v>21861.8</v>
      </c>
      <c r="F254" s="81" t="s">
        <v>899</v>
      </c>
      <c r="G254" s="81"/>
    </row>
    <row r="255">
      <c r="A255" s="81" t="s">
        <v>900</v>
      </c>
      <c r="B255" s="140">
        <v>45814.0</v>
      </c>
      <c r="C255" s="141" t="s">
        <v>831</v>
      </c>
      <c r="D255" s="142"/>
      <c r="E255" s="143">
        <v>1362.0</v>
      </c>
      <c r="F255" s="81"/>
      <c r="G255" s="81"/>
    </row>
    <row r="256">
      <c r="A256" s="81" t="s">
        <v>901</v>
      </c>
      <c r="B256" s="140">
        <v>45813.0</v>
      </c>
      <c r="C256" s="141" t="s">
        <v>831</v>
      </c>
      <c r="D256" s="142"/>
      <c r="E256" s="143">
        <v>1000.0</v>
      </c>
      <c r="F256" s="81"/>
      <c r="G256" s="81"/>
    </row>
    <row r="257">
      <c r="A257" s="81" t="s">
        <v>902</v>
      </c>
      <c r="B257" s="140">
        <v>45810.0</v>
      </c>
      <c r="C257" s="141" t="s">
        <v>831</v>
      </c>
      <c r="D257" s="142"/>
      <c r="E257" s="143">
        <v>269.0</v>
      </c>
      <c r="F257" s="81"/>
      <c r="G257" s="81"/>
    </row>
    <row r="258">
      <c r="A258" s="81" t="s">
        <v>232</v>
      </c>
      <c r="B258" s="140">
        <v>45808.0</v>
      </c>
      <c r="C258" s="141" t="s">
        <v>831</v>
      </c>
      <c r="D258" s="142"/>
      <c r="E258" s="143">
        <v>200.0</v>
      </c>
      <c r="F258" s="81"/>
      <c r="G258" s="81"/>
    </row>
    <row r="259">
      <c r="A259" s="81" t="s">
        <v>231</v>
      </c>
      <c r="B259" s="140">
        <v>45807.0</v>
      </c>
      <c r="C259" s="141" t="s">
        <v>831</v>
      </c>
      <c r="D259" s="142"/>
      <c r="E259" s="143">
        <v>242.0</v>
      </c>
      <c r="F259" s="81" t="s">
        <v>903</v>
      </c>
      <c r="G259" s="81"/>
    </row>
    <row r="260">
      <c r="A260" s="81" t="s">
        <v>904</v>
      </c>
      <c r="B260" s="140">
        <v>45804.0</v>
      </c>
      <c r="C260" s="141" t="s">
        <v>834</v>
      </c>
      <c r="D260" s="142"/>
      <c r="E260" s="143">
        <v>3793.15</v>
      </c>
      <c r="F260" s="81"/>
      <c r="G260" s="81"/>
    </row>
    <row r="261">
      <c r="A261" s="81" t="s">
        <v>746</v>
      </c>
      <c r="B261" s="140">
        <v>45800.0</v>
      </c>
      <c r="C261" s="141" t="s">
        <v>834</v>
      </c>
      <c r="D261" s="142">
        <v>2250.0</v>
      </c>
      <c r="E261" s="143"/>
      <c r="F261" s="81"/>
      <c r="G261" s="81"/>
    </row>
    <row r="262">
      <c r="A262" s="81" t="s">
        <v>905</v>
      </c>
      <c r="B262" s="140">
        <v>45800.0</v>
      </c>
      <c r="C262" s="141" t="s">
        <v>831</v>
      </c>
      <c r="D262" s="142">
        <v>5000.0</v>
      </c>
      <c r="E262" s="143"/>
      <c r="F262" s="81"/>
      <c r="G262" s="81"/>
    </row>
    <row r="263">
      <c r="A263" s="81" t="s">
        <v>906</v>
      </c>
      <c r="B263" s="140">
        <v>45787.0</v>
      </c>
      <c r="C263" s="141" t="s">
        <v>831</v>
      </c>
      <c r="D263" s="142"/>
      <c r="E263" s="143">
        <v>668.0</v>
      </c>
      <c r="F263" s="81"/>
      <c r="G263" s="81"/>
    </row>
    <row r="264">
      <c r="A264" s="81" t="s">
        <v>136</v>
      </c>
      <c r="B264" s="140">
        <v>45782.0</v>
      </c>
      <c r="C264" s="141" t="s">
        <v>831</v>
      </c>
      <c r="D264" s="142"/>
      <c r="E264" s="143">
        <v>1582.0</v>
      </c>
      <c r="F264" s="81"/>
      <c r="G264" s="81"/>
    </row>
    <row r="265">
      <c r="A265" s="81" t="s">
        <v>885</v>
      </c>
      <c r="B265" s="140">
        <v>45785.0</v>
      </c>
      <c r="C265" s="141" t="s">
        <v>837</v>
      </c>
      <c r="D265" s="142">
        <v>143.0</v>
      </c>
      <c r="E265" s="143"/>
      <c r="F265" s="81"/>
      <c r="G265" s="81"/>
    </row>
    <row r="266">
      <c r="A266" s="81" t="s">
        <v>145</v>
      </c>
      <c r="B266" s="140">
        <v>45783.0</v>
      </c>
      <c r="C266" s="141" t="s">
        <v>834</v>
      </c>
      <c r="D266" s="142"/>
      <c r="E266" s="143">
        <v>1445.0</v>
      </c>
      <c r="F266" s="81"/>
      <c r="G266" s="81"/>
    </row>
    <row r="267">
      <c r="A267" s="81" t="s">
        <v>885</v>
      </c>
      <c r="B267" s="140">
        <v>45782.0</v>
      </c>
      <c r="C267" s="141" t="s">
        <v>837</v>
      </c>
      <c r="D267" s="142">
        <v>286.0</v>
      </c>
      <c r="E267" s="143"/>
      <c r="F267" s="81"/>
      <c r="G267" s="81"/>
    </row>
    <row r="268">
      <c r="A268" s="81" t="s">
        <v>907</v>
      </c>
      <c r="B268" s="140">
        <v>45778.0</v>
      </c>
      <c r="C268" s="141" t="s">
        <v>831</v>
      </c>
      <c r="D268" s="142">
        <v>1120.0</v>
      </c>
      <c r="E268" s="143"/>
      <c r="F268" s="81"/>
      <c r="G268" s="81"/>
    </row>
    <row r="269">
      <c r="A269" s="81" t="s">
        <v>908</v>
      </c>
      <c r="B269" s="140">
        <v>45775.0</v>
      </c>
      <c r="C269" s="141" t="s">
        <v>831</v>
      </c>
      <c r="D269" s="142"/>
      <c r="E269" s="143">
        <v>605.0</v>
      </c>
      <c r="F269" s="81"/>
      <c r="G269" s="81"/>
    </row>
    <row r="270">
      <c r="A270" s="81" t="s">
        <v>909</v>
      </c>
      <c r="B270" s="140">
        <v>45774.0</v>
      </c>
      <c r="C270" s="141" t="s">
        <v>831</v>
      </c>
      <c r="D270" s="142"/>
      <c r="E270" s="143">
        <v>2540.0</v>
      </c>
      <c r="F270" s="81"/>
      <c r="G270" s="81"/>
    </row>
    <row r="271">
      <c r="A271" s="81" t="s">
        <v>746</v>
      </c>
      <c r="B271" s="140">
        <v>45772.0</v>
      </c>
      <c r="C271" s="141" t="s">
        <v>834</v>
      </c>
      <c r="D271" s="142">
        <v>1500.0</v>
      </c>
      <c r="E271" s="143"/>
      <c r="F271" s="81"/>
      <c r="G271" s="81"/>
    </row>
    <row r="272">
      <c r="A272" s="81" t="s">
        <v>777</v>
      </c>
      <c r="B272" s="140">
        <v>45772.0</v>
      </c>
      <c r="C272" s="141" t="s">
        <v>831</v>
      </c>
      <c r="D272" s="142">
        <v>4650.0</v>
      </c>
      <c r="E272" s="143"/>
      <c r="F272" s="81"/>
      <c r="G272" s="81"/>
    </row>
    <row r="273">
      <c r="A273" s="81" t="s">
        <v>910</v>
      </c>
      <c r="B273" s="140">
        <v>45764.0</v>
      </c>
      <c r="C273" s="141" t="s">
        <v>831</v>
      </c>
      <c r="D273" s="142"/>
      <c r="E273" s="143">
        <v>940.5</v>
      </c>
      <c r="F273" s="81"/>
      <c r="G273" s="81"/>
    </row>
    <row r="274">
      <c r="A274" s="81" t="s">
        <v>907</v>
      </c>
      <c r="B274" s="140">
        <v>45763.0</v>
      </c>
      <c r="C274" s="141" t="s">
        <v>831</v>
      </c>
      <c r="D274" s="142">
        <v>1302.12</v>
      </c>
      <c r="E274" s="143"/>
      <c r="F274" s="81"/>
      <c r="G274" s="81"/>
    </row>
    <row r="275">
      <c r="A275" s="81" t="s">
        <v>911</v>
      </c>
      <c r="B275" s="140">
        <v>45763.0</v>
      </c>
      <c r="C275" s="141" t="s">
        <v>831</v>
      </c>
      <c r="D275" s="142"/>
      <c r="E275" s="143">
        <v>280.0</v>
      </c>
      <c r="F275" s="81"/>
      <c r="G275" s="81"/>
    </row>
    <row r="276">
      <c r="A276" s="81" t="s">
        <v>280</v>
      </c>
      <c r="B276" s="140">
        <v>45763.0</v>
      </c>
      <c r="C276" s="141" t="s">
        <v>831</v>
      </c>
      <c r="D276" s="142"/>
      <c r="E276" s="143">
        <v>843.6</v>
      </c>
      <c r="F276" s="81"/>
      <c r="G276" s="81"/>
    </row>
    <row r="277">
      <c r="A277" s="81" t="s">
        <v>912</v>
      </c>
      <c r="B277" s="140">
        <v>45762.0</v>
      </c>
      <c r="C277" s="141" t="s">
        <v>831</v>
      </c>
      <c r="D277" s="142"/>
      <c r="E277" s="143">
        <v>834.25</v>
      </c>
      <c r="F277" s="81"/>
      <c r="G277" s="81"/>
    </row>
    <row r="278">
      <c r="A278" s="81" t="s">
        <v>913</v>
      </c>
      <c r="B278" s="140">
        <v>45762.0</v>
      </c>
      <c r="C278" s="141" t="s">
        <v>831</v>
      </c>
      <c r="D278" s="142"/>
      <c r="E278" s="143">
        <v>1000.0</v>
      </c>
      <c r="F278" s="81"/>
      <c r="G278" s="81"/>
    </row>
    <row r="279">
      <c r="A279" s="81" t="s">
        <v>914</v>
      </c>
      <c r="B279" s="140">
        <v>45761.0</v>
      </c>
      <c r="C279" s="141" t="s">
        <v>831</v>
      </c>
      <c r="D279" s="142"/>
      <c r="E279" s="143">
        <v>195.0</v>
      </c>
      <c r="F279" s="81"/>
      <c r="G279" s="81"/>
    </row>
    <row r="280">
      <c r="A280" s="81" t="s">
        <v>779</v>
      </c>
      <c r="B280" s="140">
        <v>45761.0</v>
      </c>
      <c r="C280" s="141" t="s">
        <v>831</v>
      </c>
      <c r="D280" s="142"/>
      <c r="E280" s="143">
        <v>1770.0</v>
      </c>
      <c r="F280" s="81"/>
      <c r="G280" s="81"/>
    </row>
    <row r="281">
      <c r="A281" s="81" t="s">
        <v>915</v>
      </c>
      <c r="B281" s="140">
        <v>45760.0</v>
      </c>
      <c r="C281" s="141" t="s">
        <v>831</v>
      </c>
      <c r="D281" s="142">
        <v>600.0</v>
      </c>
      <c r="E281" s="143"/>
      <c r="F281" s="81"/>
      <c r="G281" s="81"/>
    </row>
    <row r="282">
      <c r="A282" s="81" t="s">
        <v>916</v>
      </c>
      <c r="B282" s="140">
        <v>45760.0</v>
      </c>
      <c r="C282" s="141" t="s">
        <v>831</v>
      </c>
      <c r="D282" s="142"/>
      <c r="E282" s="143">
        <v>875.25</v>
      </c>
      <c r="F282" s="81"/>
      <c r="G282" s="81"/>
    </row>
    <row r="283">
      <c r="A283" s="81" t="s">
        <v>917</v>
      </c>
      <c r="B283" s="140">
        <v>45756.0</v>
      </c>
      <c r="C283" s="141" t="s">
        <v>831</v>
      </c>
      <c r="D283" s="142">
        <v>4232.51</v>
      </c>
      <c r="E283" s="143"/>
      <c r="F283" s="67"/>
      <c r="G283" s="67"/>
    </row>
    <row r="284">
      <c r="A284" s="81" t="s">
        <v>918</v>
      </c>
      <c r="B284" s="140">
        <v>45756.0</v>
      </c>
      <c r="C284" s="141" t="s">
        <v>833</v>
      </c>
      <c r="D284" s="142"/>
      <c r="E284" s="143">
        <v>4232.51</v>
      </c>
      <c r="F284" s="67"/>
      <c r="G284" s="67"/>
    </row>
    <row r="285">
      <c r="A285" s="81" t="s">
        <v>919</v>
      </c>
      <c r="B285" s="140">
        <v>45754.0</v>
      </c>
      <c r="C285" s="141" t="s">
        <v>831</v>
      </c>
      <c r="D285" s="142"/>
      <c r="E285" s="143">
        <v>572.7</v>
      </c>
      <c r="F285" s="67"/>
      <c r="G285" s="67"/>
    </row>
    <row r="286">
      <c r="A286" s="81" t="s">
        <v>920</v>
      </c>
      <c r="B286" s="140">
        <v>45752.0</v>
      </c>
      <c r="C286" s="141" t="s">
        <v>831</v>
      </c>
      <c r="D286" s="142"/>
      <c r="E286" s="143">
        <v>399.0</v>
      </c>
      <c r="F286" s="67"/>
      <c r="G286" s="67"/>
    </row>
    <row r="287">
      <c r="A287" s="81" t="s">
        <v>921</v>
      </c>
      <c r="B287" s="140">
        <v>45750.0</v>
      </c>
      <c r="C287" s="141" t="s">
        <v>834</v>
      </c>
      <c r="D287" s="142">
        <v>100.0</v>
      </c>
      <c r="E287" s="145"/>
      <c r="F287" s="67"/>
      <c r="G287" s="67"/>
    </row>
    <row r="288">
      <c r="A288" s="81" t="s">
        <v>921</v>
      </c>
      <c r="B288" s="140">
        <v>45750.0</v>
      </c>
      <c r="C288" s="141" t="s">
        <v>832</v>
      </c>
      <c r="D288" s="146"/>
      <c r="E288" s="143">
        <v>100.0</v>
      </c>
      <c r="F288" s="67"/>
      <c r="G288" s="67"/>
    </row>
    <row r="289">
      <c r="A289" s="81" t="s">
        <v>922</v>
      </c>
      <c r="B289" s="140">
        <v>45746.0</v>
      </c>
      <c r="C289" s="141" t="s">
        <v>831</v>
      </c>
      <c r="D289" s="146"/>
      <c r="E289" s="143">
        <v>500.0</v>
      </c>
      <c r="F289" s="67"/>
      <c r="G289" s="67"/>
    </row>
    <row r="290">
      <c r="A290" s="81" t="s">
        <v>923</v>
      </c>
      <c r="B290" s="140">
        <v>45745.0</v>
      </c>
      <c r="C290" s="141" t="s">
        <v>831</v>
      </c>
      <c r="D290" s="146"/>
      <c r="E290" s="143">
        <v>500.0</v>
      </c>
      <c r="F290" s="67"/>
      <c r="G290" s="67"/>
    </row>
    <row r="291">
      <c r="A291" s="81" t="s">
        <v>924</v>
      </c>
      <c r="B291" s="140">
        <v>45744.0</v>
      </c>
      <c r="C291" s="141" t="s">
        <v>831</v>
      </c>
      <c r="D291" s="142">
        <v>1085.0</v>
      </c>
      <c r="E291" s="143">
        <v>1085.0</v>
      </c>
      <c r="F291" s="81"/>
      <c r="G291" s="81"/>
    </row>
    <row r="292">
      <c r="A292" s="81" t="s">
        <v>925</v>
      </c>
      <c r="B292" s="140">
        <v>45744.0</v>
      </c>
      <c r="C292" s="141" t="s">
        <v>831</v>
      </c>
      <c r="D292" s="142"/>
      <c r="E292" s="143">
        <v>235.33</v>
      </c>
      <c r="F292" s="67"/>
      <c r="G292" s="67"/>
    </row>
    <row r="293">
      <c r="A293" s="81" t="s">
        <v>926</v>
      </c>
      <c r="B293" s="140">
        <v>45741.0</v>
      </c>
      <c r="C293" s="141" t="s">
        <v>837</v>
      </c>
      <c r="D293" s="142">
        <v>143.0</v>
      </c>
      <c r="E293" s="145"/>
      <c r="F293" s="67"/>
      <c r="G293" s="67"/>
    </row>
    <row r="294">
      <c r="A294" s="81" t="s">
        <v>927</v>
      </c>
      <c r="B294" s="140">
        <v>45741.0</v>
      </c>
      <c r="C294" s="141" t="s">
        <v>846</v>
      </c>
      <c r="D294" s="142">
        <v>500.0</v>
      </c>
      <c r="E294" s="145"/>
      <c r="F294" s="67"/>
      <c r="G294" s="67"/>
    </row>
    <row r="295">
      <c r="A295" s="81" t="s">
        <v>746</v>
      </c>
      <c r="B295" s="140">
        <v>45741.0</v>
      </c>
      <c r="C295" s="141" t="s">
        <v>834</v>
      </c>
      <c r="D295" s="142">
        <v>1400.0</v>
      </c>
      <c r="E295" s="145"/>
      <c r="F295" s="67"/>
      <c r="G295" s="67"/>
    </row>
    <row r="296">
      <c r="A296" s="81" t="s">
        <v>734</v>
      </c>
      <c r="B296" s="140">
        <v>45741.0</v>
      </c>
      <c r="C296" s="141" t="s">
        <v>837</v>
      </c>
      <c r="D296" s="142">
        <v>1100.0</v>
      </c>
      <c r="E296" s="145"/>
      <c r="F296" s="67"/>
      <c r="G296" s="67"/>
    </row>
    <row r="297">
      <c r="A297" s="81" t="s">
        <v>777</v>
      </c>
      <c r="B297" s="140">
        <v>45741.0</v>
      </c>
      <c r="C297" s="141" t="s">
        <v>831</v>
      </c>
      <c r="D297" s="142">
        <v>6000.0</v>
      </c>
      <c r="E297" s="145"/>
      <c r="F297" s="67"/>
      <c r="G297" s="67"/>
    </row>
    <row r="298">
      <c r="A298" s="147" t="s">
        <v>928</v>
      </c>
      <c r="B298" s="148">
        <v>45736.0</v>
      </c>
      <c r="C298" s="149" t="s">
        <v>833</v>
      </c>
      <c r="D298" s="150"/>
      <c r="E298" s="151">
        <v>2890.0</v>
      </c>
      <c r="F298" s="152"/>
      <c r="G298" s="75"/>
    </row>
    <row r="299">
      <c r="A299" s="147" t="s">
        <v>929</v>
      </c>
      <c r="B299" s="148">
        <v>45734.0</v>
      </c>
      <c r="C299" s="149" t="s">
        <v>833</v>
      </c>
      <c r="D299" s="150"/>
      <c r="E299" s="151">
        <v>5000.0</v>
      </c>
      <c r="F299" s="153"/>
      <c r="G299" s="69"/>
    </row>
    <row r="300">
      <c r="A300" s="147" t="s">
        <v>930</v>
      </c>
      <c r="B300" s="148">
        <v>45731.0</v>
      </c>
      <c r="C300" s="149" t="s">
        <v>831</v>
      </c>
      <c r="D300" s="150"/>
      <c r="E300" s="151">
        <v>253.0</v>
      </c>
      <c r="F300" s="152"/>
      <c r="G300" s="75"/>
    </row>
    <row r="301">
      <c r="A301" s="154" t="s">
        <v>931</v>
      </c>
      <c r="B301" s="155">
        <v>45728.0</v>
      </c>
      <c r="C301" s="149" t="s">
        <v>831</v>
      </c>
      <c r="D301" s="150"/>
      <c r="E301" s="151">
        <v>1097.0</v>
      </c>
      <c r="F301" s="153"/>
      <c r="G301" s="69"/>
    </row>
    <row r="302">
      <c r="A302" s="154" t="s">
        <v>879</v>
      </c>
      <c r="B302" s="155">
        <v>45728.0</v>
      </c>
      <c r="C302" s="149" t="s">
        <v>831</v>
      </c>
      <c r="D302" s="150"/>
      <c r="E302" s="150">
        <v>600.0</v>
      </c>
      <c r="F302" s="153"/>
      <c r="G302" s="69"/>
    </row>
    <row r="303">
      <c r="A303" s="154" t="s">
        <v>734</v>
      </c>
      <c r="B303" s="155">
        <v>45720.0</v>
      </c>
      <c r="C303" s="149" t="s">
        <v>837</v>
      </c>
      <c r="D303" s="150">
        <v>713.0</v>
      </c>
      <c r="E303" s="150"/>
      <c r="F303" s="153"/>
      <c r="G303" s="69"/>
    </row>
    <row r="304">
      <c r="A304" s="147" t="s">
        <v>932</v>
      </c>
      <c r="B304" s="155">
        <v>45720.0</v>
      </c>
      <c r="C304" s="149" t="s">
        <v>831</v>
      </c>
      <c r="D304" s="150">
        <f>2750.5+7.34</f>
        <v>2757.84</v>
      </c>
      <c r="E304" s="151">
        <v>2001.5</v>
      </c>
      <c r="F304" s="153"/>
      <c r="G304" s="69"/>
    </row>
    <row r="305">
      <c r="A305" s="154" t="s">
        <v>933</v>
      </c>
      <c r="B305" s="155">
        <v>45719.0</v>
      </c>
      <c r="C305" s="149" t="s">
        <v>831</v>
      </c>
      <c r="D305" s="150"/>
      <c r="E305" s="150">
        <v>321.0</v>
      </c>
      <c r="F305" s="153"/>
      <c r="G305" s="69"/>
    </row>
    <row r="306">
      <c r="A306" s="154" t="s">
        <v>934</v>
      </c>
      <c r="B306" s="155">
        <v>45713.0</v>
      </c>
      <c r="C306" s="149" t="s">
        <v>831</v>
      </c>
      <c r="D306" s="150"/>
      <c r="E306" s="150">
        <v>268.0</v>
      </c>
      <c r="F306" s="153"/>
      <c r="G306" s="69"/>
    </row>
    <row r="307">
      <c r="A307" s="147" t="s">
        <v>927</v>
      </c>
      <c r="B307" s="155">
        <v>45713.0</v>
      </c>
      <c r="C307" s="149" t="s">
        <v>846</v>
      </c>
      <c r="D307" s="150">
        <v>500.0</v>
      </c>
      <c r="E307" s="150"/>
      <c r="F307" s="153"/>
      <c r="G307" s="69"/>
    </row>
    <row r="308">
      <c r="A308" s="154" t="s">
        <v>746</v>
      </c>
      <c r="B308" s="155">
        <v>45713.0</v>
      </c>
      <c r="C308" s="149" t="s">
        <v>834</v>
      </c>
      <c r="D308" s="150">
        <v>1249.0</v>
      </c>
      <c r="E308" s="150"/>
      <c r="F308" s="153"/>
      <c r="G308" s="69"/>
    </row>
    <row r="309">
      <c r="A309" s="154" t="s">
        <v>601</v>
      </c>
      <c r="B309" s="155">
        <v>45713.0</v>
      </c>
      <c r="C309" s="149" t="s">
        <v>832</v>
      </c>
      <c r="D309" s="150">
        <v>1000.0</v>
      </c>
      <c r="E309" s="150"/>
      <c r="F309" s="153"/>
      <c r="G309" s="69"/>
    </row>
    <row r="310">
      <c r="A310" s="154" t="s">
        <v>734</v>
      </c>
      <c r="B310" s="155">
        <v>45713.0</v>
      </c>
      <c r="C310" s="149" t="s">
        <v>837</v>
      </c>
      <c r="D310" s="150">
        <v>500.0</v>
      </c>
      <c r="E310" s="150"/>
      <c r="F310" s="153"/>
      <c r="G310" s="69"/>
    </row>
    <row r="311">
      <c r="A311" s="154" t="s">
        <v>777</v>
      </c>
      <c r="B311" s="155">
        <v>45713.0</v>
      </c>
      <c r="C311" s="149" t="s">
        <v>831</v>
      </c>
      <c r="D311" s="150">
        <v>6000.0</v>
      </c>
      <c r="E311" s="150"/>
      <c r="F311" s="153"/>
      <c r="G311" s="69"/>
    </row>
    <row r="312">
      <c r="A312" s="154" t="s">
        <v>935</v>
      </c>
      <c r="B312" s="155">
        <v>45713.0</v>
      </c>
      <c r="C312" s="149" t="s">
        <v>831</v>
      </c>
      <c r="D312" s="150">
        <v>749.0</v>
      </c>
      <c r="E312" s="150"/>
      <c r="F312" s="153"/>
      <c r="G312" s="69"/>
    </row>
    <row r="313">
      <c r="A313" s="154" t="s">
        <v>936</v>
      </c>
      <c r="B313" s="155">
        <v>45710.0</v>
      </c>
      <c r="C313" s="149" t="s">
        <v>831</v>
      </c>
      <c r="D313" s="150"/>
      <c r="E313" s="151">
        <v>749.0</v>
      </c>
      <c r="F313" s="153"/>
      <c r="G313" s="69"/>
    </row>
    <row r="314">
      <c r="A314" s="154" t="s">
        <v>937</v>
      </c>
      <c r="B314" s="155">
        <v>45708.0</v>
      </c>
      <c r="C314" s="149" t="s">
        <v>837</v>
      </c>
      <c r="D314" s="150"/>
      <c r="E314" s="150">
        <v>14057.0</v>
      </c>
      <c r="F314" s="67"/>
      <c r="G314" s="67"/>
    </row>
    <row r="315">
      <c r="A315" s="154" t="s">
        <v>747</v>
      </c>
      <c r="B315" s="155">
        <v>45708.0</v>
      </c>
      <c r="C315" s="149" t="s">
        <v>837</v>
      </c>
      <c r="D315" s="150">
        <v>150.0</v>
      </c>
      <c r="E315" s="150"/>
      <c r="F315" s="67"/>
      <c r="G315" s="67"/>
    </row>
    <row r="316">
      <c r="A316" s="154" t="s">
        <v>938</v>
      </c>
      <c r="B316" s="155">
        <v>45705.0</v>
      </c>
      <c r="C316" s="149" t="s">
        <v>831</v>
      </c>
      <c r="D316" s="150"/>
      <c r="E316" s="150">
        <v>509.0</v>
      </c>
      <c r="F316" s="67"/>
      <c r="G316" s="67"/>
    </row>
    <row r="317">
      <c r="A317" s="154" t="s">
        <v>939</v>
      </c>
      <c r="B317" s="155">
        <v>45705.0</v>
      </c>
      <c r="C317" s="149" t="s">
        <v>831</v>
      </c>
      <c r="D317" s="150"/>
      <c r="E317" s="150">
        <v>1510.0</v>
      </c>
      <c r="F317" s="67"/>
      <c r="G317" s="67"/>
    </row>
    <row r="318">
      <c r="A318" s="154" t="s">
        <v>940</v>
      </c>
      <c r="B318" s="155">
        <v>45705.0</v>
      </c>
      <c r="C318" s="149" t="s">
        <v>831</v>
      </c>
      <c r="D318" s="150"/>
      <c r="E318" s="150">
        <v>380.0</v>
      </c>
      <c r="F318" s="67"/>
      <c r="G318" s="67"/>
    </row>
    <row r="319">
      <c r="A319" s="154" t="s">
        <v>941</v>
      </c>
      <c r="B319" s="155">
        <v>45704.0</v>
      </c>
      <c r="C319" s="149" t="s">
        <v>831</v>
      </c>
      <c r="D319" s="150"/>
      <c r="E319" s="150">
        <v>650.0</v>
      </c>
      <c r="F319" s="67"/>
      <c r="G319" s="67"/>
    </row>
    <row r="320">
      <c r="A320" s="154" t="s">
        <v>942</v>
      </c>
      <c r="B320" s="155">
        <v>45703.0</v>
      </c>
      <c r="C320" s="149" t="s">
        <v>831</v>
      </c>
      <c r="D320" s="150"/>
      <c r="E320" s="150">
        <v>713.0</v>
      </c>
      <c r="F320" s="67"/>
      <c r="G320" s="67"/>
    </row>
    <row r="321">
      <c r="A321" s="154" t="s">
        <v>943</v>
      </c>
      <c r="B321" s="155">
        <v>45703.0</v>
      </c>
      <c r="C321" s="149" t="s">
        <v>833</v>
      </c>
      <c r="D321" s="150"/>
      <c r="E321" s="150">
        <v>2314.0</v>
      </c>
      <c r="F321" s="67"/>
      <c r="G321" s="67"/>
    </row>
    <row r="322">
      <c r="A322" s="154" t="s">
        <v>944</v>
      </c>
      <c r="B322" s="155">
        <v>45679.0</v>
      </c>
      <c r="C322" s="149" t="s">
        <v>831</v>
      </c>
      <c r="D322" s="150"/>
      <c r="E322" s="150">
        <f>650+132.75</f>
        <v>782.75</v>
      </c>
      <c r="F322" s="67"/>
      <c r="G322" s="67"/>
    </row>
    <row r="323">
      <c r="A323" s="154" t="s">
        <v>945</v>
      </c>
      <c r="B323" s="155">
        <v>45698.0</v>
      </c>
      <c r="C323" s="149" t="s">
        <v>831</v>
      </c>
      <c r="D323" s="150"/>
      <c r="E323" s="150">
        <v>1529.0</v>
      </c>
      <c r="F323" s="67"/>
      <c r="G323" s="67"/>
    </row>
    <row r="324">
      <c r="A324" s="154" t="s">
        <v>946</v>
      </c>
      <c r="B324" s="155">
        <v>45698.0</v>
      </c>
      <c r="C324" s="149" t="s">
        <v>831</v>
      </c>
      <c r="D324" s="150"/>
      <c r="E324" s="150">
        <v>1203.0</v>
      </c>
      <c r="F324" s="67"/>
      <c r="G324" s="67"/>
    </row>
    <row r="325">
      <c r="A325" s="154" t="s">
        <v>947</v>
      </c>
      <c r="B325" s="155">
        <v>45697.0</v>
      </c>
      <c r="C325" s="149" t="s">
        <v>831</v>
      </c>
      <c r="D325" s="150"/>
      <c r="E325" s="150">
        <v>1063.0</v>
      </c>
      <c r="F325" s="67"/>
      <c r="G325" s="67"/>
    </row>
    <row r="326">
      <c r="A326" s="154" t="s">
        <v>948</v>
      </c>
      <c r="B326" s="155">
        <v>45693.0</v>
      </c>
      <c r="C326" s="149" t="s">
        <v>831</v>
      </c>
      <c r="D326" s="150"/>
      <c r="E326" s="150">
        <v>117.0</v>
      </c>
      <c r="F326" s="67"/>
      <c r="G326" s="67"/>
    </row>
    <row r="327">
      <c r="A327" s="154" t="s">
        <v>949</v>
      </c>
      <c r="B327" s="155">
        <v>45690.0</v>
      </c>
      <c r="C327" s="149" t="s">
        <v>831</v>
      </c>
      <c r="D327" s="150"/>
      <c r="E327" s="150">
        <v>1059.0</v>
      </c>
      <c r="F327" s="67"/>
      <c r="G327" s="67"/>
    </row>
    <row r="328">
      <c r="A328" s="154" t="s">
        <v>950</v>
      </c>
      <c r="B328" s="155">
        <v>45690.0</v>
      </c>
      <c r="C328" s="149" t="s">
        <v>831</v>
      </c>
      <c r="D328" s="150"/>
      <c r="E328" s="150">
        <v>1805.0</v>
      </c>
      <c r="F328" s="67"/>
      <c r="G328" s="67"/>
    </row>
    <row r="329">
      <c r="A329" s="154" t="s">
        <v>951</v>
      </c>
      <c r="B329" s="155">
        <v>45688.0</v>
      </c>
      <c r="C329" s="149" t="s">
        <v>831</v>
      </c>
      <c r="D329" s="150"/>
      <c r="E329" s="150">
        <v>1370.0</v>
      </c>
      <c r="F329" s="67"/>
      <c r="G329" s="67"/>
    </row>
    <row r="330">
      <c r="A330" s="154" t="s">
        <v>947</v>
      </c>
      <c r="B330" s="155">
        <v>45684.0</v>
      </c>
      <c r="C330" s="149" t="s">
        <v>831</v>
      </c>
      <c r="D330" s="150"/>
      <c r="E330" s="150">
        <v>303.25</v>
      </c>
      <c r="F330" s="67"/>
      <c r="G330" s="67"/>
    </row>
    <row r="331">
      <c r="A331" s="154" t="s">
        <v>952</v>
      </c>
      <c r="B331" s="155">
        <v>45684.0</v>
      </c>
      <c r="C331" s="149" t="s">
        <v>831</v>
      </c>
      <c r="D331" s="150"/>
      <c r="E331" s="150">
        <v>473.0</v>
      </c>
      <c r="F331" s="67"/>
      <c r="G331" s="67"/>
    </row>
    <row r="332">
      <c r="A332" s="154" t="s">
        <v>953</v>
      </c>
      <c r="B332" s="155">
        <v>45682.0</v>
      </c>
      <c r="C332" s="149" t="s">
        <v>831</v>
      </c>
      <c r="D332" s="150"/>
      <c r="E332" s="150">
        <v>1690.42</v>
      </c>
      <c r="F332" s="67"/>
      <c r="G332" s="67"/>
    </row>
    <row r="333">
      <c r="A333" s="154" t="s">
        <v>954</v>
      </c>
      <c r="B333" s="155">
        <v>45688.0</v>
      </c>
      <c r="C333" s="149" t="s">
        <v>833</v>
      </c>
      <c r="D333" s="150"/>
      <c r="E333" s="150">
        <v>7899.0</v>
      </c>
      <c r="F333" s="67"/>
      <c r="G333" s="67"/>
    </row>
    <row r="334">
      <c r="A334" s="154" t="s">
        <v>955</v>
      </c>
      <c r="B334" s="155">
        <v>45682.0</v>
      </c>
      <c r="C334" s="149" t="s">
        <v>831</v>
      </c>
      <c r="D334" s="150"/>
      <c r="E334" s="150">
        <v>919.0</v>
      </c>
      <c r="F334" s="67"/>
      <c r="G334" s="67"/>
    </row>
    <row r="335">
      <c r="A335" s="147" t="s">
        <v>956</v>
      </c>
      <c r="B335" s="155">
        <v>45682.0</v>
      </c>
      <c r="C335" s="149" t="s">
        <v>831</v>
      </c>
      <c r="D335" s="150"/>
      <c r="E335" s="150">
        <v>1368.0</v>
      </c>
      <c r="F335" s="67"/>
      <c r="G335" s="67"/>
    </row>
    <row r="336">
      <c r="A336" s="154" t="s">
        <v>123</v>
      </c>
      <c r="B336" s="155">
        <v>45682.0</v>
      </c>
      <c r="C336" s="149" t="s">
        <v>831</v>
      </c>
      <c r="D336" s="150"/>
      <c r="E336" s="150">
        <v>876.3</v>
      </c>
      <c r="F336" s="67"/>
      <c r="G336" s="67"/>
    </row>
    <row r="337">
      <c r="A337" s="154" t="s">
        <v>957</v>
      </c>
      <c r="B337" s="155">
        <v>45682.0</v>
      </c>
      <c r="C337" s="149" t="s">
        <v>833</v>
      </c>
      <c r="D337" s="150"/>
      <c r="E337" s="150">
        <v>5990.0</v>
      </c>
      <c r="F337" s="67"/>
      <c r="G337" s="67"/>
    </row>
    <row r="338">
      <c r="A338" s="154" t="s">
        <v>958</v>
      </c>
      <c r="B338" s="155">
        <v>45681.0</v>
      </c>
      <c r="C338" s="149" t="s">
        <v>831</v>
      </c>
      <c r="D338" s="150"/>
      <c r="E338" s="150">
        <v>1120.0</v>
      </c>
      <c r="F338" s="67"/>
      <c r="G338" s="67"/>
    </row>
    <row r="339">
      <c r="A339" s="154" t="s">
        <v>734</v>
      </c>
      <c r="B339" s="155">
        <v>45681.0</v>
      </c>
      <c r="C339" s="149" t="s">
        <v>837</v>
      </c>
      <c r="D339" s="150">
        <f>500+172.05</f>
        <v>672.05</v>
      </c>
      <c r="E339" s="150"/>
      <c r="F339" s="67"/>
      <c r="G339" s="67"/>
    </row>
    <row r="340">
      <c r="A340" s="147" t="s">
        <v>959</v>
      </c>
      <c r="B340" s="155">
        <v>45681.0</v>
      </c>
      <c r="C340" s="149" t="s">
        <v>833</v>
      </c>
      <c r="D340" s="150">
        <v>2800.0</v>
      </c>
      <c r="E340" s="150"/>
      <c r="F340" s="67"/>
      <c r="G340" s="67"/>
    </row>
    <row r="341">
      <c r="A341" s="154" t="s">
        <v>777</v>
      </c>
      <c r="B341" s="155">
        <v>45681.0</v>
      </c>
      <c r="C341" s="149" t="s">
        <v>831</v>
      </c>
      <c r="D341" s="150">
        <v>4500.0</v>
      </c>
      <c r="E341" s="150"/>
      <c r="F341" s="67"/>
      <c r="G341" s="67"/>
    </row>
    <row r="342">
      <c r="A342" s="154" t="s">
        <v>746</v>
      </c>
      <c r="B342" s="155">
        <v>45681.0</v>
      </c>
      <c r="C342" s="149" t="s">
        <v>834</v>
      </c>
      <c r="D342" s="150">
        <v>1249.0</v>
      </c>
      <c r="E342" s="150"/>
      <c r="F342" s="67"/>
      <c r="G342" s="67"/>
    </row>
    <row r="343">
      <c r="A343" s="154" t="s">
        <v>601</v>
      </c>
      <c r="B343" s="155">
        <v>45681.0</v>
      </c>
      <c r="C343" s="149" t="s">
        <v>832</v>
      </c>
      <c r="D343" s="150">
        <v>1000.0</v>
      </c>
      <c r="E343" s="150"/>
      <c r="F343" s="67"/>
      <c r="G343" s="67"/>
    </row>
    <row r="344">
      <c r="A344" s="147" t="s">
        <v>960</v>
      </c>
      <c r="B344" s="155">
        <v>45680.0</v>
      </c>
      <c r="C344" s="149" t="s">
        <v>834</v>
      </c>
      <c r="D344" s="150"/>
      <c r="E344" s="150">
        <v>10999.6</v>
      </c>
      <c r="F344" s="67"/>
      <c r="G344" s="67"/>
    </row>
    <row r="345">
      <c r="A345" s="154" t="s">
        <v>961</v>
      </c>
      <c r="B345" s="155">
        <v>45688.0</v>
      </c>
      <c r="C345" s="149" t="s">
        <v>831</v>
      </c>
      <c r="D345" s="150"/>
      <c r="E345" s="150">
        <v>2846.0</v>
      </c>
      <c r="F345" s="67"/>
      <c r="G345" s="67"/>
    </row>
    <row r="346">
      <c r="A346" s="154" t="s">
        <v>962</v>
      </c>
      <c r="B346" s="155">
        <v>45679.0</v>
      </c>
      <c r="C346" s="149" t="s">
        <v>831</v>
      </c>
      <c r="D346" s="150"/>
      <c r="E346" s="150">
        <v>4797.0</v>
      </c>
      <c r="F346" s="67"/>
      <c r="G346" s="67"/>
    </row>
    <row r="347">
      <c r="A347" s="154" t="s">
        <v>734</v>
      </c>
      <c r="B347" s="155">
        <v>45678.0</v>
      </c>
      <c r="C347" s="149" t="s">
        <v>837</v>
      </c>
      <c r="D347" s="150">
        <v>1000.0</v>
      </c>
      <c r="E347" s="150"/>
      <c r="F347" s="67"/>
      <c r="G347" s="67"/>
    </row>
    <row r="348">
      <c r="A348" s="154" t="s">
        <v>963</v>
      </c>
      <c r="B348" s="155">
        <v>45675.0</v>
      </c>
      <c r="C348" s="149" t="s">
        <v>831</v>
      </c>
      <c r="D348" s="150"/>
      <c r="E348" s="150">
        <v>232.94</v>
      </c>
      <c r="F348" s="67"/>
      <c r="G348" s="67"/>
    </row>
    <row r="349">
      <c r="A349" s="154" t="s">
        <v>964</v>
      </c>
      <c r="B349" s="155">
        <v>45675.0</v>
      </c>
      <c r="C349" s="149" t="s">
        <v>831</v>
      </c>
      <c r="D349" s="150"/>
      <c r="E349" s="150">
        <v>1006.0</v>
      </c>
      <c r="F349" s="67"/>
      <c r="G349" s="67"/>
    </row>
    <row r="350">
      <c r="A350" s="154" t="s">
        <v>965</v>
      </c>
      <c r="B350" s="155">
        <v>45676.0</v>
      </c>
      <c r="C350" s="149" t="s">
        <v>831</v>
      </c>
      <c r="D350" s="150"/>
      <c r="E350" s="150">
        <v>750.0</v>
      </c>
      <c r="F350" s="67"/>
      <c r="G350" s="67"/>
    </row>
    <row r="351">
      <c r="A351" s="154" t="s">
        <v>966</v>
      </c>
      <c r="B351" s="155">
        <v>45661.0</v>
      </c>
      <c r="C351" s="149" t="s">
        <v>831</v>
      </c>
      <c r="D351" s="150"/>
      <c r="E351" s="150">
        <v>1464.6</v>
      </c>
      <c r="F351" s="67"/>
      <c r="G351" s="67"/>
    </row>
    <row r="352">
      <c r="A352" s="154" t="s">
        <v>967</v>
      </c>
      <c r="B352" s="155">
        <v>45660.0</v>
      </c>
      <c r="C352" s="149" t="s">
        <v>831</v>
      </c>
      <c r="D352" s="150"/>
      <c r="E352" s="150">
        <v>1400.0</v>
      </c>
      <c r="F352" s="67"/>
      <c r="G352" s="67"/>
    </row>
    <row r="353" ht="25.5" customHeight="1">
      <c r="A353" s="67"/>
      <c r="F353" s="67"/>
      <c r="G353" s="67"/>
    </row>
    <row r="354">
      <c r="A354" s="67"/>
      <c r="B354" s="156"/>
      <c r="C354" s="157"/>
      <c r="D354" s="146"/>
      <c r="E354" s="145"/>
      <c r="F354" s="67"/>
      <c r="G354" s="67"/>
    </row>
    <row r="355">
      <c r="A355" s="67"/>
      <c r="B355" s="156"/>
      <c r="C355" s="157"/>
      <c r="D355" s="146"/>
      <c r="E355" s="145"/>
      <c r="F355" s="67"/>
      <c r="G355" s="67"/>
    </row>
    <row r="356">
      <c r="A356" s="67"/>
      <c r="B356" s="156"/>
      <c r="C356" s="157"/>
      <c r="D356" s="146"/>
      <c r="E356" s="145"/>
      <c r="F356" s="67"/>
      <c r="G356" s="67"/>
    </row>
    <row r="357">
      <c r="A357" s="67"/>
      <c r="B357" s="156"/>
      <c r="C357" s="157"/>
      <c r="D357" s="146"/>
      <c r="E357" s="145"/>
      <c r="F357" s="67"/>
      <c r="G357" s="67"/>
    </row>
    <row r="358">
      <c r="A358" s="67"/>
      <c r="B358" s="156"/>
      <c r="C358" s="157"/>
      <c r="D358" s="146"/>
      <c r="E358" s="145"/>
      <c r="F358" s="67"/>
      <c r="G358" s="67"/>
    </row>
    <row r="359">
      <c r="A359" s="67"/>
      <c r="B359" s="156"/>
      <c r="C359" s="157"/>
      <c r="D359" s="146"/>
      <c r="E359" s="145"/>
      <c r="F359" s="67"/>
      <c r="G359" s="67"/>
    </row>
    <row r="360">
      <c r="A360" s="67"/>
      <c r="B360" s="156"/>
      <c r="C360" s="157"/>
      <c r="D360" s="146"/>
      <c r="E360" s="145"/>
      <c r="F360" s="67"/>
      <c r="G360" s="67"/>
    </row>
    <row r="361">
      <c r="A361" s="67"/>
      <c r="B361" s="156"/>
      <c r="C361" s="157"/>
      <c r="D361" s="146"/>
      <c r="E361" s="145"/>
      <c r="F361" s="67"/>
      <c r="G361" s="67"/>
    </row>
    <row r="362">
      <c r="A362" s="67"/>
      <c r="B362" s="156"/>
      <c r="C362" s="157"/>
      <c r="D362" s="146"/>
      <c r="E362" s="145"/>
      <c r="F362" s="67"/>
      <c r="G362" s="67"/>
    </row>
    <row r="363">
      <c r="A363" s="67"/>
      <c r="B363" s="156"/>
      <c r="C363" s="157"/>
      <c r="D363" s="146"/>
      <c r="E363" s="145"/>
      <c r="F363" s="67"/>
      <c r="G363" s="67"/>
    </row>
    <row r="364">
      <c r="A364" s="67"/>
      <c r="B364" s="156"/>
      <c r="C364" s="157"/>
      <c r="D364" s="146"/>
      <c r="E364" s="145"/>
      <c r="F364" s="67"/>
      <c r="G364" s="67"/>
    </row>
    <row r="365">
      <c r="A365" s="67"/>
      <c r="B365" s="156"/>
      <c r="C365" s="157"/>
      <c r="D365" s="146"/>
      <c r="E365" s="145"/>
      <c r="F365" s="67"/>
      <c r="G365" s="67"/>
    </row>
    <row r="366">
      <c r="A366" s="67"/>
      <c r="B366" s="156"/>
      <c r="C366" s="157"/>
      <c r="D366" s="146"/>
      <c r="E366" s="145"/>
      <c r="F366" s="67"/>
      <c r="G366" s="67"/>
    </row>
    <row r="367">
      <c r="A367" s="67"/>
      <c r="B367" s="156"/>
      <c r="C367" s="157"/>
      <c r="D367" s="146"/>
      <c r="E367" s="145"/>
      <c r="F367" s="67"/>
      <c r="G367" s="67"/>
    </row>
    <row r="368">
      <c r="A368" s="67"/>
      <c r="B368" s="156"/>
      <c r="C368" s="157"/>
      <c r="D368" s="146"/>
      <c r="E368" s="145"/>
      <c r="F368" s="67"/>
      <c r="G368" s="67"/>
    </row>
    <row r="369">
      <c r="A369" s="67"/>
      <c r="B369" s="156"/>
      <c r="C369" s="157"/>
      <c r="D369" s="146"/>
      <c r="E369" s="145"/>
      <c r="F369" s="67"/>
      <c r="G369" s="67"/>
    </row>
    <row r="370">
      <c r="A370" s="67"/>
      <c r="B370" s="156"/>
      <c r="C370" s="157"/>
      <c r="D370" s="146"/>
      <c r="E370" s="145"/>
      <c r="F370" s="67"/>
      <c r="G370" s="67"/>
    </row>
    <row r="371">
      <c r="A371" s="67"/>
      <c r="B371" s="156"/>
      <c r="C371" s="157"/>
      <c r="D371" s="146"/>
      <c r="E371" s="145"/>
      <c r="F371" s="67"/>
      <c r="G371" s="67"/>
    </row>
    <row r="372">
      <c r="A372" s="67"/>
      <c r="B372" s="156"/>
      <c r="C372" s="157"/>
      <c r="D372" s="146"/>
      <c r="E372" s="145"/>
      <c r="F372" s="67"/>
      <c r="G372" s="67"/>
    </row>
    <row r="373">
      <c r="A373" s="67"/>
      <c r="B373" s="156"/>
      <c r="C373" s="157"/>
      <c r="D373" s="146"/>
      <c r="E373" s="145"/>
      <c r="F373" s="67"/>
      <c r="G373" s="67"/>
    </row>
    <row r="374">
      <c r="A374" s="67"/>
      <c r="B374" s="156"/>
      <c r="C374" s="157"/>
      <c r="D374" s="146"/>
      <c r="E374" s="145"/>
      <c r="F374" s="67"/>
      <c r="G374" s="67"/>
    </row>
    <row r="375">
      <c r="A375" s="67"/>
      <c r="B375" s="156"/>
      <c r="C375" s="157"/>
      <c r="D375" s="146"/>
      <c r="E375" s="145"/>
      <c r="F375" s="67"/>
      <c r="G375" s="67"/>
    </row>
    <row r="376">
      <c r="A376" s="67"/>
      <c r="B376" s="156"/>
      <c r="C376" s="157"/>
      <c r="D376" s="146"/>
      <c r="E376" s="145"/>
      <c r="F376" s="67"/>
      <c r="G376" s="67"/>
    </row>
    <row r="377">
      <c r="A377" s="67"/>
      <c r="B377" s="156"/>
      <c r="C377" s="157"/>
      <c r="D377" s="146"/>
      <c r="E377" s="145"/>
      <c r="F377" s="67"/>
      <c r="G377" s="67"/>
    </row>
    <row r="378">
      <c r="A378" s="67"/>
      <c r="B378" s="156"/>
      <c r="C378" s="157"/>
      <c r="D378" s="146"/>
      <c r="E378" s="145"/>
      <c r="F378" s="67"/>
      <c r="G378" s="67"/>
    </row>
    <row r="379">
      <c r="A379" s="67"/>
      <c r="B379" s="156"/>
      <c r="C379" s="157"/>
      <c r="D379" s="146"/>
      <c r="E379" s="145"/>
      <c r="F379" s="67"/>
      <c r="G379" s="67"/>
    </row>
    <row r="380">
      <c r="A380" s="67"/>
      <c r="B380" s="156"/>
      <c r="C380" s="157"/>
      <c r="D380" s="146"/>
      <c r="E380" s="145"/>
      <c r="F380" s="67"/>
      <c r="G380" s="67"/>
    </row>
    <row r="381">
      <c r="A381" s="67"/>
      <c r="B381" s="156"/>
      <c r="C381" s="157"/>
      <c r="D381" s="146"/>
      <c r="E381" s="145"/>
      <c r="F381" s="67"/>
      <c r="G381" s="67"/>
    </row>
    <row r="382">
      <c r="A382" s="67"/>
      <c r="B382" s="156"/>
      <c r="C382" s="157"/>
      <c r="D382" s="146"/>
      <c r="E382" s="145"/>
      <c r="F382" s="67"/>
      <c r="G382" s="67"/>
    </row>
    <row r="383">
      <c r="A383" s="67"/>
      <c r="B383" s="156"/>
      <c r="C383" s="157"/>
      <c r="D383" s="146"/>
      <c r="E383" s="145"/>
      <c r="F383" s="67"/>
      <c r="G383" s="67"/>
    </row>
    <row r="384">
      <c r="A384" s="67"/>
      <c r="B384" s="156"/>
      <c r="C384" s="157"/>
      <c r="D384" s="146"/>
      <c r="E384" s="145"/>
      <c r="F384" s="67"/>
      <c r="G384" s="67"/>
    </row>
    <row r="385">
      <c r="A385" s="67"/>
      <c r="B385" s="156"/>
      <c r="C385" s="157"/>
      <c r="D385" s="146"/>
      <c r="E385" s="145"/>
      <c r="F385" s="67"/>
      <c r="G385" s="67"/>
    </row>
    <row r="386">
      <c r="A386" s="67"/>
      <c r="B386" s="156"/>
      <c r="C386" s="157"/>
      <c r="D386" s="146"/>
      <c r="E386" s="145"/>
      <c r="F386" s="67"/>
      <c r="G386" s="67"/>
    </row>
    <row r="387">
      <c r="A387" s="67"/>
      <c r="B387" s="156"/>
      <c r="C387" s="157"/>
      <c r="D387" s="146"/>
      <c r="E387" s="145"/>
      <c r="F387" s="67"/>
      <c r="G387" s="67"/>
    </row>
    <row r="388">
      <c r="A388" s="67"/>
      <c r="B388" s="156"/>
      <c r="C388" s="157"/>
      <c r="D388" s="146"/>
      <c r="E388" s="145"/>
      <c r="F388" s="67"/>
      <c r="G388" s="67"/>
    </row>
    <row r="389">
      <c r="A389" s="67"/>
      <c r="B389" s="156"/>
      <c r="C389" s="157"/>
      <c r="D389" s="146"/>
      <c r="E389" s="145"/>
      <c r="F389" s="67"/>
      <c r="G389" s="67"/>
    </row>
    <row r="390">
      <c r="A390" s="67"/>
      <c r="B390" s="156"/>
      <c r="C390" s="157"/>
      <c r="D390" s="146"/>
      <c r="E390" s="145"/>
      <c r="F390" s="67"/>
      <c r="G390" s="67"/>
    </row>
    <row r="391">
      <c r="A391" s="67"/>
      <c r="B391" s="156"/>
      <c r="C391" s="157"/>
      <c r="D391" s="146"/>
      <c r="E391" s="145"/>
      <c r="F391" s="67"/>
      <c r="G391" s="67"/>
    </row>
    <row r="392">
      <c r="A392" s="67"/>
      <c r="B392" s="156"/>
      <c r="C392" s="157"/>
      <c r="D392" s="146"/>
      <c r="E392" s="145"/>
      <c r="F392" s="67"/>
      <c r="G392" s="67"/>
    </row>
    <row r="393">
      <c r="A393" s="67"/>
      <c r="B393" s="156"/>
      <c r="C393" s="157"/>
      <c r="D393" s="146"/>
      <c r="E393" s="145"/>
      <c r="F393" s="67"/>
      <c r="G393" s="67"/>
    </row>
    <row r="394">
      <c r="A394" s="67"/>
      <c r="B394" s="156"/>
      <c r="C394" s="157"/>
      <c r="D394" s="146"/>
      <c r="E394" s="145"/>
      <c r="F394" s="67"/>
      <c r="G394" s="67"/>
    </row>
    <row r="395">
      <c r="A395" s="67"/>
      <c r="B395" s="156"/>
      <c r="C395" s="157"/>
      <c r="D395" s="146"/>
      <c r="E395" s="145"/>
      <c r="F395" s="67"/>
      <c r="G395" s="67"/>
    </row>
    <row r="396">
      <c r="A396" s="67"/>
      <c r="B396" s="156"/>
      <c r="C396" s="157"/>
      <c r="D396" s="146"/>
      <c r="E396" s="145"/>
      <c r="F396" s="67"/>
      <c r="G396" s="67"/>
    </row>
    <row r="397">
      <c r="A397" s="67"/>
      <c r="B397" s="156"/>
      <c r="C397" s="157"/>
      <c r="D397" s="146"/>
      <c r="E397" s="145"/>
      <c r="F397" s="67"/>
      <c r="G397" s="67"/>
    </row>
    <row r="398">
      <c r="A398" s="67"/>
      <c r="B398" s="156"/>
      <c r="C398" s="157"/>
      <c r="D398" s="146"/>
      <c r="E398" s="145"/>
      <c r="F398" s="67"/>
      <c r="G398" s="67"/>
    </row>
    <row r="399">
      <c r="A399" s="67"/>
      <c r="B399" s="156"/>
      <c r="C399" s="157"/>
      <c r="D399" s="146"/>
      <c r="E399" s="145"/>
      <c r="F399" s="67"/>
      <c r="G399" s="67"/>
    </row>
    <row r="400">
      <c r="A400" s="67"/>
      <c r="B400" s="156"/>
      <c r="C400" s="157"/>
      <c r="D400" s="146"/>
      <c r="E400" s="145"/>
      <c r="F400" s="67"/>
      <c r="G400" s="67"/>
    </row>
    <row r="401">
      <c r="A401" s="67"/>
      <c r="B401" s="156"/>
      <c r="C401" s="157"/>
      <c r="D401" s="146"/>
      <c r="E401" s="145"/>
      <c r="F401" s="67"/>
      <c r="G401" s="67"/>
    </row>
    <row r="402">
      <c r="A402" s="67"/>
      <c r="B402" s="156"/>
      <c r="C402" s="157"/>
      <c r="D402" s="146"/>
      <c r="E402" s="145"/>
      <c r="F402" s="67"/>
      <c r="G402" s="67"/>
    </row>
    <row r="403">
      <c r="A403" s="67"/>
      <c r="B403" s="156"/>
      <c r="C403" s="157"/>
      <c r="D403" s="146"/>
      <c r="E403" s="145"/>
      <c r="F403" s="67"/>
      <c r="G403" s="67"/>
    </row>
    <row r="404">
      <c r="A404" s="67"/>
      <c r="B404" s="156"/>
      <c r="C404" s="157"/>
      <c r="D404" s="146"/>
      <c r="E404" s="145"/>
      <c r="F404" s="67"/>
      <c r="G404" s="67"/>
    </row>
    <row r="405">
      <c r="A405" s="67"/>
      <c r="B405" s="156"/>
      <c r="C405" s="157"/>
      <c r="D405" s="146"/>
      <c r="E405" s="145"/>
      <c r="F405" s="67"/>
      <c r="G405" s="67"/>
    </row>
    <row r="406">
      <c r="A406" s="67"/>
      <c r="B406" s="156"/>
      <c r="C406" s="157"/>
      <c r="D406" s="146"/>
      <c r="E406" s="145"/>
      <c r="F406" s="67"/>
      <c r="G406" s="67"/>
    </row>
    <row r="407">
      <c r="A407" s="67"/>
      <c r="B407" s="156"/>
      <c r="C407" s="157"/>
      <c r="D407" s="146"/>
      <c r="E407" s="145"/>
      <c r="F407" s="67"/>
      <c r="G407" s="67"/>
    </row>
    <row r="408">
      <c r="A408" s="67"/>
      <c r="B408" s="156"/>
      <c r="C408" s="157"/>
      <c r="D408" s="146"/>
      <c r="E408" s="145"/>
      <c r="F408" s="67"/>
      <c r="G408" s="67"/>
    </row>
    <row r="409">
      <c r="A409" s="67"/>
      <c r="B409" s="156"/>
      <c r="C409" s="157"/>
      <c r="D409" s="146"/>
      <c r="E409" s="145"/>
      <c r="F409" s="67"/>
      <c r="G409" s="67"/>
    </row>
    <row r="410">
      <c r="A410" s="67"/>
      <c r="B410" s="156"/>
      <c r="C410" s="157"/>
      <c r="D410" s="146"/>
      <c r="E410" s="145"/>
      <c r="F410" s="67"/>
      <c r="G410" s="67"/>
    </row>
    <row r="411">
      <c r="A411" s="67"/>
      <c r="B411" s="156"/>
      <c r="C411" s="157"/>
      <c r="D411" s="146"/>
      <c r="E411" s="145"/>
      <c r="F411" s="67"/>
      <c r="G411" s="67"/>
    </row>
    <row r="412">
      <c r="A412" s="67"/>
      <c r="B412" s="156"/>
      <c r="C412" s="157"/>
      <c r="D412" s="146"/>
      <c r="E412" s="145"/>
      <c r="F412" s="67"/>
      <c r="G412" s="67"/>
    </row>
    <row r="413">
      <c r="A413" s="67"/>
      <c r="B413" s="156"/>
      <c r="C413" s="157"/>
      <c r="D413" s="146"/>
      <c r="E413" s="145"/>
      <c r="F413" s="67"/>
      <c r="G413" s="67"/>
    </row>
    <row r="414">
      <c r="A414" s="67"/>
      <c r="B414" s="156"/>
      <c r="C414" s="157"/>
      <c r="D414" s="146"/>
      <c r="E414" s="145"/>
      <c r="F414" s="67"/>
      <c r="G414" s="67"/>
    </row>
    <row r="415">
      <c r="A415" s="67"/>
      <c r="B415" s="156"/>
      <c r="C415" s="157"/>
      <c r="D415" s="146"/>
      <c r="E415" s="145"/>
      <c r="F415" s="67"/>
      <c r="G415" s="67"/>
    </row>
    <row r="416">
      <c r="A416" s="67"/>
      <c r="B416" s="156"/>
      <c r="C416" s="157"/>
      <c r="D416" s="146"/>
      <c r="E416" s="145"/>
      <c r="F416" s="67"/>
      <c r="G416" s="67"/>
    </row>
    <row r="417">
      <c r="A417" s="67"/>
      <c r="B417" s="156"/>
      <c r="C417" s="157"/>
      <c r="D417" s="146"/>
      <c r="E417" s="145"/>
      <c r="F417" s="67"/>
      <c r="G417" s="67"/>
    </row>
    <row r="418">
      <c r="A418" s="67"/>
      <c r="B418" s="156"/>
      <c r="C418" s="157"/>
      <c r="D418" s="146"/>
      <c r="E418" s="145"/>
      <c r="F418" s="67"/>
      <c r="G418" s="67"/>
    </row>
    <row r="419">
      <c r="A419" s="67"/>
      <c r="B419" s="156"/>
      <c r="C419" s="157"/>
      <c r="D419" s="146"/>
      <c r="E419" s="145"/>
      <c r="F419" s="67"/>
      <c r="G419" s="67"/>
    </row>
    <row r="420">
      <c r="A420" s="67"/>
      <c r="B420" s="156"/>
      <c r="C420" s="157"/>
      <c r="D420" s="146"/>
      <c r="E420" s="145"/>
      <c r="F420" s="67"/>
      <c r="G420" s="67"/>
    </row>
    <row r="421">
      <c r="A421" s="67"/>
      <c r="B421" s="156"/>
      <c r="C421" s="157"/>
      <c r="D421" s="146"/>
      <c r="E421" s="145"/>
      <c r="F421" s="67"/>
      <c r="G421" s="67"/>
    </row>
    <row r="422">
      <c r="A422" s="67"/>
      <c r="B422" s="156"/>
      <c r="C422" s="157"/>
      <c r="D422" s="146"/>
      <c r="E422" s="145"/>
      <c r="F422" s="67"/>
      <c r="G422" s="67"/>
    </row>
    <row r="423">
      <c r="A423" s="67"/>
      <c r="B423" s="156"/>
      <c r="C423" s="157"/>
      <c r="D423" s="146"/>
      <c r="E423" s="145"/>
      <c r="F423" s="67"/>
      <c r="G423" s="67"/>
    </row>
    <row r="424">
      <c r="A424" s="67"/>
      <c r="B424" s="156"/>
      <c r="C424" s="157"/>
      <c r="D424" s="146"/>
      <c r="E424" s="145"/>
      <c r="F424" s="67"/>
      <c r="G424" s="67"/>
    </row>
    <row r="425">
      <c r="A425" s="67"/>
      <c r="B425" s="156"/>
      <c r="C425" s="157"/>
      <c r="D425" s="146"/>
      <c r="E425" s="145"/>
      <c r="F425" s="67"/>
      <c r="G425" s="67"/>
    </row>
    <row r="426">
      <c r="A426" s="67"/>
      <c r="B426" s="156"/>
      <c r="C426" s="157"/>
      <c r="D426" s="146"/>
      <c r="E426" s="145"/>
      <c r="F426" s="67"/>
      <c r="G426" s="67"/>
    </row>
    <row r="427">
      <c r="A427" s="67"/>
      <c r="B427" s="156"/>
      <c r="C427" s="157"/>
      <c r="D427" s="146"/>
      <c r="E427" s="145"/>
      <c r="F427" s="67"/>
      <c r="G427" s="67"/>
    </row>
    <row r="428">
      <c r="A428" s="67"/>
      <c r="B428" s="156"/>
      <c r="C428" s="157"/>
      <c r="D428" s="146"/>
      <c r="E428" s="145"/>
      <c r="F428" s="67"/>
      <c r="G428" s="67"/>
    </row>
    <row r="429">
      <c r="A429" s="67"/>
      <c r="B429" s="156"/>
      <c r="C429" s="157"/>
      <c r="D429" s="146"/>
      <c r="E429" s="145"/>
      <c r="F429" s="67"/>
      <c r="G429" s="67"/>
    </row>
    <row r="430">
      <c r="A430" s="67"/>
      <c r="B430" s="156"/>
      <c r="C430" s="157"/>
      <c r="D430" s="146"/>
      <c r="E430" s="145"/>
      <c r="F430" s="67"/>
      <c r="G430" s="67"/>
    </row>
    <row r="431">
      <c r="A431" s="67"/>
      <c r="B431" s="156"/>
      <c r="C431" s="157"/>
      <c r="D431" s="146"/>
      <c r="E431" s="145"/>
      <c r="F431" s="67"/>
      <c r="G431" s="67"/>
    </row>
    <row r="432">
      <c r="A432" s="67"/>
      <c r="B432" s="156"/>
      <c r="C432" s="157"/>
      <c r="D432" s="146"/>
      <c r="E432" s="145"/>
      <c r="F432" s="67"/>
      <c r="G432" s="67"/>
    </row>
    <row r="433">
      <c r="A433" s="67"/>
      <c r="B433" s="156"/>
      <c r="C433" s="157"/>
      <c r="D433" s="146"/>
      <c r="E433" s="145"/>
      <c r="F433" s="67"/>
      <c r="G433" s="67"/>
    </row>
    <row r="434">
      <c r="A434" s="67"/>
      <c r="B434" s="156"/>
      <c r="C434" s="157"/>
      <c r="D434" s="146"/>
      <c r="E434" s="145"/>
      <c r="F434" s="67"/>
      <c r="G434" s="67"/>
    </row>
    <row r="435">
      <c r="A435" s="67"/>
      <c r="B435" s="156"/>
      <c r="C435" s="157"/>
      <c r="D435" s="146"/>
      <c r="E435" s="145"/>
      <c r="F435" s="67"/>
      <c r="G435" s="67"/>
    </row>
    <row r="436">
      <c r="A436" s="67"/>
      <c r="B436" s="156"/>
      <c r="C436" s="157"/>
      <c r="D436" s="146"/>
      <c r="E436" s="145"/>
      <c r="F436" s="67"/>
      <c r="G436" s="67"/>
    </row>
    <row r="437">
      <c r="A437" s="67"/>
      <c r="B437" s="156"/>
      <c r="C437" s="157"/>
      <c r="D437" s="146"/>
      <c r="E437" s="145"/>
      <c r="F437" s="67"/>
      <c r="G437" s="67"/>
    </row>
    <row r="438">
      <c r="A438" s="67"/>
      <c r="B438" s="156"/>
      <c r="C438" s="157"/>
      <c r="D438" s="146"/>
      <c r="E438" s="145"/>
      <c r="F438" s="67"/>
      <c r="G438" s="67"/>
    </row>
    <row r="439">
      <c r="A439" s="67"/>
      <c r="B439" s="156"/>
      <c r="C439" s="157"/>
      <c r="D439" s="146"/>
      <c r="E439" s="145"/>
      <c r="F439" s="67"/>
      <c r="G439" s="67"/>
    </row>
    <row r="440">
      <c r="A440" s="67"/>
      <c r="B440" s="156"/>
      <c r="C440" s="157"/>
      <c r="D440" s="146"/>
      <c r="E440" s="145"/>
      <c r="F440" s="67"/>
      <c r="G440" s="67"/>
    </row>
    <row r="441">
      <c r="A441" s="67"/>
      <c r="B441" s="156"/>
      <c r="C441" s="157"/>
      <c r="D441" s="146"/>
      <c r="E441" s="145"/>
      <c r="F441" s="67"/>
      <c r="G441" s="67"/>
    </row>
    <row r="442">
      <c r="A442" s="67"/>
      <c r="B442" s="156"/>
      <c r="C442" s="157"/>
      <c r="D442" s="146"/>
      <c r="E442" s="145"/>
      <c r="F442" s="67"/>
      <c r="G442" s="67"/>
    </row>
    <row r="443">
      <c r="A443" s="67"/>
      <c r="B443" s="156"/>
      <c r="C443" s="157"/>
      <c r="D443" s="146"/>
      <c r="E443" s="145"/>
      <c r="F443" s="67"/>
      <c r="G443" s="67"/>
    </row>
    <row r="444">
      <c r="A444" s="67"/>
      <c r="B444" s="156"/>
      <c r="C444" s="157"/>
      <c r="D444" s="146"/>
      <c r="E444" s="145"/>
      <c r="F444" s="67"/>
      <c r="G444" s="67"/>
    </row>
    <row r="445">
      <c r="A445" s="67"/>
      <c r="B445" s="156"/>
      <c r="C445" s="157"/>
      <c r="D445" s="146"/>
      <c r="E445" s="145"/>
      <c r="F445" s="67"/>
      <c r="G445" s="67"/>
    </row>
    <row r="446">
      <c r="A446" s="67"/>
      <c r="B446" s="156"/>
      <c r="C446" s="157"/>
      <c r="D446" s="146"/>
      <c r="E446" s="145"/>
      <c r="F446" s="67"/>
      <c r="G446" s="67"/>
    </row>
    <row r="447">
      <c r="A447" s="67"/>
      <c r="B447" s="156"/>
      <c r="C447" s="157"/>
      <c r="D447" s="146"/>
      <c r="E447" s="145"/>
      <c r="F447" s="67"/>
      <c r="G447" s="67"/>
    </row>
    <row r="448">
      <c r="A448" s="67"/>
      <c r="B448" s="156"/>
      <c r="C448" s="157"/>
      <c r="D448" s="146"/>
      <c r="E448" s="145"/>
      <c r="F448" s="67"/>
      <c r="G448" s="67"/>
    </row>
    <row r="449">
      <c r="A449" s="67"/>
      <c r="B449" s="156"/>
      <c r="C449" s="157"/>
      <c r="D449" s="146"/>
      <c r="E449" s="145"/>
      <c r="F449" s="67"/>
      <c r="G449" s="67"/>
    </row>
    <row r="450">
      <c r="A450" s="67"/>
      <c r="B450" s="156"/>
      <c r="C450" s="157"/>
      <c r="D450" s="146"/>
      <c r="E450" s="145"/>
      <c r="F450" s="67"/>
      <c r="G450" s="67"/>
    </row>
    <row r="451">
      <c r="A451" s="67"/>
      <c r="B451" s="156"/>
      <c r="C451" s="157"/>
      <c r="D451" s="146"/>
      <c r="E451" s="145"/>
      <c r="F451" s="67"/>
      <c r="G451" s="67"/>
    </row>
    <row r="452">
      <c r="A452" s="67"/>
      <c r="B452" s="156"/>
      <c r="C452" s="157"/>
      <c r="D452" s="146"/>
      <c r="E452" s="145"/>
      <c r="F452" s="67"/>
      <c r="G452" s="67"/>
    </row>
    <row r="453">
      <c r="A453" s="67"/>
      <c r="B453" s="156"/>
      <c r="C453" s="157"/>
      <c r="D453" s="146"/>
      <c r="E453" s="145"/>
      <c r="F453" s="67"/>
      <c r="G453" s="67"/>
    </row>
    <row r="454">
      <c r="A454" s="67"/>
      <c r="B454" s="156"/>
      <c r="C454" s="157"/>
      <c r="D454" s="146"/>
      <c r="E454" s="145"/>
      <c r="F454" s="67"/>
      <c r="G454" s="67"/>
    </row>
    <row r="455">
      <c r="A455" s="67"/>
      <c r="B455" s="156"/>
      <c r="C455" s="157"/>
      <c r="D455" s="146"/>
      <c r="E455" s="145"/>
      <c r="F455" s="67"/>
      <c r="G455" s="67"/>
    </row>
    <row r="456">
      <c r="A456" s="67"/>
      <c r="B456" s="156"/>
      <c r="C456" s="157"/>
      <c r="D456" s="146"/>
      <c r="E456" s="145"/>
      <c r="F456" s="67"/>
      <c r="G456" s="67"/>
    </row>
    <row r="457">
      <c r="A457" s="67"/>
      <c r="B457" s="156"/>
      <c r="C457" s="157"/>
      <c r="D457" s="146"/>
      <c r="E457" s="145"/>
      <c r="F457" s="67"/>
      <c r="G457" s="67"/>
    </row>
    <row r="458">
      <c r="A458" s="67"/>
      <c r="B458" s="156"/>
      <c r="C458" s="157"/>
      <c r="D458" s="146"/>
      <c r="E458" s="145"/>
      <c r="F458" s="67"/>
      <c r="G458" s="67"/>
    </row>
    <row r="459">
      <c r="A459" s="67"/>
      <c r="B459" s="156"/>
      <c r="C459" s="157"/>
      <c r="D459" s="146"/>
      <c r="E459" s="145"/>
      <c r="F459" s="67"/>
      <c r="G459" s="67"/>
    </row>
    <row r="460">
      <c r="A460" s="67"/>
      <c r="B460" s="156"/>
      <c r="C460" s="157"/>
      <c r="D460" s="146"/>
      <c r="E460" s="145"/>
      <c r="F460" s="67"/>
      <c r="G460" s="67"/>
    </row>
    <row r="461">
      <c r="A461" s="67"/>
      <c r="B461" s="156"/>
      <c r="C461" s="157"/>
      <c r="D461" s="146"/>
      <c r="E461" s="145"/>
      <c r="F461" s="67"/>
      <c r="G461" s="67"/>
    </row>
    <row r="462">
      <c r="A462" s="67"/>
      <c r="B462" s="156"/>
      <c r="C462" s="157"/>
      <c r="D462" s="146"/>
      <c r="E462" s="145"/>
      <c r="F462" s="67"/>
      <c r="G462" s="67"/>
    </row>
    <row r="463">
      <c r="A463" s="67"/>
      <c r="B463" s="156"/>
      <c r="C463" s="157"/>
      <c r="D463" s="146"/>
      <c r="E463" s="145"/>
      <c r="F463" s="67"/>
      <c r="G463" s="67"/>
    </row>
    <row r="464">
      <c r="A464" s="67"/>
      <c r="B464" s="156"/>
      <c r="C464" s="157"/>
      <c r="D464" s="146"/>
      <c r="E464" s="145"/>
      <c r="F464" s="67"/>
      <c r="G464" s="67"/>
    </row>
    <row r="465">
      <c r="A465" s="67"/>
      <c r="B465" s="156"/>
      <c r="C465" s="157"/>
      <c r="D465" s="146"/>
      <c r="E465" s="145"/>
      <c r="F465" s="67"/>
      <c r="G465" s="67"/>
    </row>
    <row r="466">
      <c r="A466" s="67"/>
      <c r="B466" s="156"/>
      <c r="C466" s="157"/>
      <c r="D466" s="146"/>
      <c r="E466" s="145"/>
      <c r="F466" s="67"/>
      <c r="G466" s="67"/>
    </row>
    <row r="467">
      <c r="A467" s="67"/>
      <c r="B467" s="156"/>
      <c r="C467" s="157"/>
      <c r="D467" s="146"/>
      <c r="E467" s="145"/>
      <c r="F467" s="67"/>
      <c r="G467" s="67"/>
    </row>
    <row r="468">
      <c r="A468" s="67"/>
      <c r="B468" s="156"/>
      <c r="C468" s="157"/>
      <c r="D468" s="146"/>
      <c r="E468" s="145"/>
      <c r="F468" s="67"/>
      <c r="G468" s="67"/>
    </row>
    <row r="469">
      <c r="A469" s="67"/>
      <c r="B469" s="156"/>
      <c r="C469" s="157"/>
      <c r="D469" s="146"/>
      <c r="E469" s="145"/>
      <c r="F469" s="67"/>
      <c r="G469" s="67"/>
    </row>
    <row r="470">
      <c r="A470" s="67"/>
      <c r="B470" s="156"/>
      <c r="C470" s="157"/>
      <c r="D470" s="146"/>
      <c r="E470" s="145"/>
      <c r="F470" s="67"/>
      <c r="G470" s="67"/>
    </row>
    <row r="471">
      <c r="A471" s="67"/>
      <c r="B471" s="156"/>
      <c r="C471" s="157"/>
      <c r="D471" s="146"/>
      <c r="E471" s="145"/>
      <c r="F471" s="67"/>
      <c r="G471" s="67"/>
    </row>
    <row r="472">
      <c r="A472" s="67"/>
      <c r="B472" s="156"/>
      <c r="C472" s="157"/>
      <c r="D472" s="146"/>
      <c r="E472" s="145"/>
      <c r="F472" s="67"/>
      <c r="G472" s="67"/>
    </row>
    <row r="473">
      <c r="A473" s="67"/>
      <c r="B473" s="156"/>
      <c r="C473" s="157"/>
      <c r="D473" s="146"/>
      <c r="E473" s="145"/>
      <c r="F473" s="67"/>
      <c r="G473" s="67"/>
    </row>
    <row r="474">
      <c r="A474" s="67"/>
      <c r="B474" s="156"/>
      <c r="C474" s="157"/>
      <c r="D474" s="146"/>
      <c r="E474" s="145"/>
      <c r="F474" s="67"/>
      <c r="G474" s="67"/>
    </row>
    <row r="475">
      <c r="A475" s="67"/>
      <c r="B475" s="156"/>
      <c r="C475" s="157"/>
      <c r="D475" s="146"/>
      <c r="E475" s="145"/>
      <c r="F475" s="67"/>
      <c r="G475" s="67"/>
    </row>
    <row r="476">
      <c r="A476" s="67"/>
      <c r="B476" s="156"/>
      <c r="C476" s="157"/>
      <c r="D476" s="146"/>
      <c r="E476" s="145"/>
      <c r="F476" s="67"/>
      <c r="G476" s="67"/>
    </row>
    <row r="477">
      <c r="A477" s="67"/>
      <c r="B477" s="156"/>
      <c r="C477" s="157"/>
      <c r="D477" s="146"/>
      <c r="E477" s="145"/>
      <c r="F477" s="67"/>
      <c r="G477" s="67"/>
    </row>
    <row r="478">
      <c r="A478" s="67"/>
      <c r="B478" s="156"/>
      <c r="C478" s="157"/>
      <c r="D478" s="146"/>
      <c r="E478" s="145"/>
      <c r="F478" s="67"/>
      <c r="G478" s="67"/>
    </row>
    <row r="479">
      <c r="A479" s="67"/>
      <c r="B479" s="156"/>
      <c r="C479" s="157"/>
      <c r="D479" s="146"/>
      <c r="E479" s="145"/>
      <c r="F479" s="67"/>
      <c r="G479" s="67"/>
    </row>
    <row r="480">
      <c r="A480" s="67"/>
      <c r="B480" s="156"/>
      <c r="C480" s="157"/>
      <c r="D480" s="146"/>
      <c r="E480" s="145"/>
      <c r="F480" s="67"/>
      <c r="G480" s="67"/>
    </row>
    <row r="481">
      <c r="A481" s="67"/>
      <c r="B481" s="156"/>
      <c r="C481" s="157"/>
      <c r="D481" s="146"/>
      <c r="E481" s="145"/>
      <c r="F481" s="67"/>
      <c r="G481" s="67"/>
    </row>
    <row r="482">
      <c r="A482" s="67"/>
      <c r="B482" s="156"/>
      <c r="C482" s="157"/>
      <c r="D482" s="146"/>
      <c r="E482" s="145"/>
      <c r="F482" s="67"/>
      <c r="G482" s="67"/>
    </row>
    <row r="483">
      <c r="A483" s="67"/>
      <c r="B483" s="156"/>
      <c r="C483" s="157"/>
      <c r="D483" s="146"/>
      <c r="E483" s="145"/>
      <c r="F483" s="67"/>
      <c r="G483" s="67"/>
    </row>
    <row r="484">
      <c r="A484" s="67"/>
      <c r="B484" s="156"/>
      <c r="C484" s="157"/>
      <c r="D484" s="146"/>
      <c r="E484" s="145"/>
      <c r="F484" s="67"/>
      <c r="G484" s="67"/>
    </row>
    <row r="485">
      <c r="A485" s="67"/>
      <c r="B485" s="156"/>
      <c r="C485" s="157"/>
      <c r="D485" s="146"/>
      <c r="E485" s="145"/>
      <c r="F485" s="67"/>
      <c r="G485" s="67"/>
    </row>
    <row r="486">
      <c r="A486" s="67"/>
      <c r="B486" s="156"/>
      <c r="C486" s="157"/>
      <c r="D486" s="146"/>
      <c r="E486" s="145"/>
      <c r="F486" s="67"/>
      <c r="G486" s="67"/>
    </row>
    <row r="487">
      <c r="A487" s="67"/>
      <c r="B487" s="156"/>
      <c r="C487" s="157"/>
      <c r="D487" s="146"/>
      <c r="E487" s="145"/>
      <c r="F487" s="67"/>
      <c r="G487" s="67"/>
    </row>
    <row r="488">
      <c r="A488" s="67"/>
      <c r="B488" s="156"/>
      <c r="C488" s="157"/>
      <c r="D488" s="146"/>
      <c r="E488" s="145"/>
      <c r="F488" s="67"/>
      <c r="G488" s="67"/>
    </row>
    <row r="489">
      <c r="A489" s="67"/>
      <c r="B489" s="156"/>
      <c r="C489" s="157"/>
      <c r="D489" s="146"/>
      <c r="E489" s="145"/>
      <c r="F489" s="67"/>
      <c r="G489" s="67"/>
    </row>
    <row r="490">
      <c r="A490" s="67"/>
      <c r="B490" s="156"/>
      <c r="C490" s="157"/>
      <c r="D490" s="146"/>
      <c r="E490" s="145"/>
      <c r="F490" s="67"/>
      <c r="G490" s="67"/>
    </row>
    <row r="491">
      <c r="A491" s="67"/>
      <c r="B491" s="156"/>
      <c r="C491" s="157"/>
      <c r="D491" s="146"/>
      <c r="E491" s="145"/>
      <c r="F491" s="67"/>
      <c r="G491" s="67"/>
    </row>
    <row r="492">
      <c r="A492" s="67"/>
      <c r="B492" s="156"/>
      <c r="C492" s="157"/>
      <c r="D492" s="146"/>
      <c r="E492" s="145"/>
      <c r="F492" s="67"/>
      <c r="G492" s="67"/>
    </row>
    <row r="493">
      <c r="A493" s="67"/>
      <c r="B493" s="156"/>
      <c r="C493" s="157"/>
      <c r="D493" s="146"/>
      <c r="E493" s="145"/>
      <c r="F493" s="67"/>
      <c r="G493" s="67"/>
    </row>
    <row r="494">
      <c r="A494" s="67"/>
      <c r="B494" s="156"/>
      <c r="C494" s="157"/>
      <c r="D494" s="146"/>
      <c r="E494" s="145"/>
      <c r="F494" s="67"/>
      <c r="G494" s="67"/>
    </row>
    <row r="495">
      <c r="A495" s="67"/>
      <c r="B495" s="156"/>
      <c r="C495" s="157"/>
      <c r="D495" s="146"/>
      <c r="E495" s="145"/>
      <c r="F495" s="67"/>
      <c r="G495" s="67"/>
    </row>
    <row r="496">
      <c r="A496" s="67"/>
      <c r="B496" s="156"/>
      <c r="C496" s="157"/>
      <c r="D496" s="146"/>
      <c r="E496" s="145"/>
      <c r="F496" s="67"/>
      <c r="G496" s="67"/>
    </row>
    <row r="497">
      <c r="A497" s="67"/>
      <c r="B497" s="156"/>
      <c r="C497" s="157"/>
      <c r="D497" s="146"/>
      <c r="E497" s="145"/>
      <c r="F497" s="67"/>
      <c r="G497" s="67"/>
    </row>
    <row r="498">
      <c r="A498" s="67"/>
      <c r="B498" s="156"/>
      <c r="C498" s="157"/>
      <c r="D498" s="146"/>
      <c r="E498" s="145"/>
      <c r="F498" s="67"/>
      <c r="G498" s="67"/>
    </row>
    <row r="499">
      <c r="A499" s="67"/>
      <c r="B499" s="156"/>
      <c r="C499" s="157"/>
      <c r="D499" s="146"/>
      <c r="E499" s="145"/>
      <c r="F499" s="67"/>
      <c r="G499" s="67"/>
    </row>
    <row r="500">
      <c r="A500" s="67"/>
      <c r="B500" s="156"/>
      <c r="C500" s="157"/>
      <c r="D500" s="146"/>
      <c r="E500" s="145"/>
      <c r="F500" s="67"/>
      <c r="G500" s="67"/>
    </row>
    <row r="501">
      <c r="A501" s="67"/>
      <c r="B501" s="156"/>
      <c r="C501" s="157"/>
      <c r="D501" s="146"/>
      <c r="E501" s="145"/>
      <c r="F501" s="67"/>
      <c r="G501" s="67"/>
    </row>
    <row r="502">
      <c r="A502" s="67"/>
      <c r="B502" s="156"/>
      <c r="C502" s="157"/>
      <c r="D502" s="146"/>
      <c r="E502" s="145"/>
      <c r="F502" s="67"/>
      <c r="G502" s="67"/>
    </row>
    <row r="503">
      <c r="A503" s="67"/>
      <c r="B503" s="156"/>
      <c r="C503" s="157"/>
      <c r="D503" s="146"/>
      <c r="E503" s="145"/>
      <c r="F503" s="67"/>
      <c r="G503" s="67"/>
    </row>
    <row r="504">
      <c r="A504" s="67"/>
      <c r="B504" s="156"/>
      <c r="C504" s="157"/>
      <c r="D504" s="146"/>
      <c r="E504" s="145"/>
      <c r="F504" s="67"/>
      <c r="G504" s="67"/>
    </row>
    <row r="505">
      <c r="A505" s="67"/>
      <c r="B505" s="156"/>
      <c r="C505" s="157"/>
      <c r="D505" s="146"/>
      <c r="E505" s="145"/>
      <c r="F505" s="67"/>
      <c r="G505" s="67"/>
    </row>
    <row r="506">
      <c r="A506" s="67"/>
      <c r="B506" s="156"/>
      <c r="C506" s="157"/>
      <c r="D506" s="146"/>
      <c r="E506" s="145"/>
      <c r="F506" s="67"/>
      <c r="G506" s="67"/>
    </row>
    <row r="507">
      <c r="A507" s="67"/>
      <c r="B507" s="156"/>
      <c r="C507" s="157"/>
      <c r="D507" s="146"/>
      <c r="E507" s="145"/>
      <c r="F507" s="67"/>
      <c r="G507" s="67"/>
    </row>
    <row r="508">
      <c r="A508" s="67"/>
      <c r="B508" s="156"/>
      <c r="C508" s="157"/>
      <c r="D508" s="146"/>
      <c r="E508" s="145"/>
      <c r="F508" s="67"/>
      <c r="G508" s="67"/>
    </row>
    <row r="509">
      <c r="A509" s="67"/>
      <c r="B509" s="156"/>
      <c r="C509" s="157"/>
      <c r="D509" s="146"/>
      <c r="E509" s="145"/>
      <c r="F509" s="67"/>
      <c r="G509" s="67"/>
    </row>
    <row r="510">
      <c r="A510" s="67"/>
      <c r="B510" s="156"/>
      <c r="C510" s="157"/>
      <c r="D510" s="146"/>
      <c r="E510" s="145"/>
      <c r="F510" s="67"/>
      <c r="G510" s="67"/>
    </row>
    <row r="511">
      <c r="A511" s="67"/>
      <c r="B511" s="156"/>
      <c r="C511" s="157"/>
      <c r="D511" s="146"/>
      <c r="E511" s="145"/>
      <c r="F511" s="67"/>
      <c r="G511" s="67"/>
    </row>
    <row r="512">
      <c r="A512" s="67"/>
      <c r="B512" s="156"/>
      <c r="C512" s="157"/>
      <c r="D512" s="146"/>
      <c r="E512" s="145"/>
      <c r="F512" s="67"/>
      <c r="G512" s="67"/>
    </row>
    <row r="513">
      <c r="A513" s="67"/>
      <c r="B513" s="156"/>
      <c r="C513" s="157"/>
      <c r="D513" s="146"/>
      <c r="E513" s="145"/>
      <c r="F513" s="67"/>
      <c r="G513" s="67"/>
    </row>
    <row r="514">
      <c r="A514" s="67"/>
      <c r="B514" s="156"/>
      <c r="C514" s="157"/>
      <c r="D514" s="146"/>
      <c r="E514" s="145"/>
      <c r="F514" s="67"/>
      <c r="G514" s="67"/>
    </row>
    <row r="515">
      <c r="A515" s="67"/>
      <c r="B515" s="156"/>
      <c r="C515" s="157"/>
      <c r="D515" s="146"/>
      <c r="E515" s="145"/>
      <c r="F515" s="67"/>
      <c r="G515" s="67"/>
    </row>
    <row r="516">
      <c r="A516" s="67"/>
      <c r="B516" s="156"/>
      <c r="C516" s="157"/>
      <c r="D516" s="146"/>
      <c r="E516" s="145"/>
      <c r="F516" s="67"/>
      <c r="G516" s="67"/>
    </row>
    <row r="517">
      <c r="A517" s="67"/>
      <c r="B517" s="156"/>
      <c r="C517" s="157"/>
      <c r="D517" s="146"/>
      <c r="E517" s="145"/>
      <c r="F517" s="67"/>
      <c r="G517" s="67"/>
    </row>
    <row r="518">
      <c r="A518" s="67"/>
      <c r="B518" s="156"/>
      <c r="C518" s="157"/>
      <c r="D518" s="146"/>
      <c r="E518" s="145"/>
      <c r="F518" s="67"/>
      <c r="G518" s="67"/>
    </row>
    <row r="519">
      <c r="A519" s="67"/>
      <c r="B519" s="156"/>
      <c r="C519" s="157"/>
      <c r="D519" s="146"/>
      <c r="E519" s="145"/>
      <c r="F519" s="67"/>
      <c r="G519" s="67"/>
    </row>
    <row r="520">
      <c r="A520" s="67"/>
      <c r="B520" s="156"/>
      <c r="C520" s="157"/>
      <c r="D520" s="146"/>
      <c r="E520" s="145"/>
      <c r="F520" s="67"/>
      <c r="G520" s="67"/>
    </row>
    <row r="521">
      <c r="A521" s="67"/>
      <c r="B521" s="156"/>
      <c r="C521" s="157"/>
      <c r="D521" s="146"/>
      <c r="E521" s="145"/>
      <c r="F521" s="67"/>
      <c r="G521" s="67"/>
    </row>
    <row r="522">
      <c r="A522" s="67"/>
      <c r="B522" s="156"/>
      <c r="C522" s="157"/>
      <c r="D522" s="146"/>
      <c r="E522" s="145"/>
      <c r="F522" s="67"/>
      <c r="G522" s="67"/>
    </row>
    <row r="523">
      <c r="A523" s="67"/>
      <c r="B523" s="156"/>
      <c r="C523" s="157"/>
      <c r="D523" s="146"/>
      <c r="E523" s="145"/>
      <c r="F523" s="67"/>
      <c r="G523" s="67"/>
    </row>
    <row r="524">
      <c r="A524" s="67"/>
      <c r="B524" s="156"/>
      <c r="C524" s="157"/>
      <c r="D524" s="146"/>
      <c r="E524" s="145"/>
      <c r="F524" s="67"/>
      <c r="G524" s="67"/>
    </row>
    <row r="525">
      <c r="A525" s="67"/>
      <c r="B525" s="156"/>
      <c r="C525" s="157"/>
      <c r="D525" s="146"/>
      <c r="E525" s="145"/>
      <c r="F525" s="67"/>
      <c r="G525" s="67"/>
    </row>
    <row r="526">
      <c r="A526" s="67"/>
      <c r="B526" s="156"/>
      <c r="C526" s="157"/>
      <c r="D526" s="146"/>
      <c r="E526" s="145"/>
      <c r="F526" s="67"/>
      <c r="G526" s="67"/>
    </row>
    <row r="527">
      <c r="A527" s="67"/>
      <c r="B527" s="156"/>
      <c r="C527" s="157"/>
      <c r="D527" s="146"/>
      <c r="E527" s="145"/>
      <c r="F527" s="67"/>
      <c r="G527" s="67"/>
    </row>
    <row r="528">
      <c r="A528" s="67"/>
      <c r="B528" s="156"/>
      <c r="C528" s="157"/>
      <c r="D528" s="146"/>
      <c r="E528" s="145"/>
      <c r="F528" s="67"/>
      <c r="G528" s="67"/>
    </row>
    <row r="529">
      <c r="A529" s="67"/>
      <c r="B529" s="156"/>
      <c r="C529" s="157"/>
      <c r="D529" s="146"/>
      <c r="E529" s="145"/>
      <c r="F529" s="67"/>
      <c r="G529" s="67"/>
    </row>
    <row r="530">
      <c r="A530" s="67"/>
      <c r="B530" s="156"/>
      <c r="C530" s="157"/>
      <c r="D530" s="146"/>
      <c r="E530" s="145"/>
      <c r="F530" s="67"/>
      <c r="G530" s="67"/>
    </row>
    <row r="531">
      <c r="A531" s="67"/>
      <c r="B531" s="156"/>
      <c r="C531" s="157"/>
      <c r="D531" s="146"/>
      <c r="E531" s="145"/>
      <c r="F531" s="67"/>
      <c r="G531" s="67"/>
    </row>
    <row r="532">
      <c r="A532" s="67"/>
      <c r="B532" s="156"/>
      <c r="C532" s="157"/>
      <c r="D532" s="146"/>
      <c r="E532" s="145"/>
      <c r="F532" s="67"/>
      <c r="G532" s="67"/>
    </row>
    <row r="533">
      <c r="A533" s="67"/>
      <c r="B533" s="156"/>
      <c r="C533" s="157"/>
      <c r="D533" s="146"/>
      <c r="E533" s="145"/>
      <c r="F533" s="67"/>
      <c r="G533" s="67"/>
    </row>
    <row r="534">
      <c r="A534" s="67"/>
      <c r="B534" s="156"/>
      <c r="C534" s="157"/>
      <c r="D534" s="146"/>
      <c r="E534" s="145"/>
      <c r="F534" s="67"/>
      <c r="G534" s="67"/>
    </row>
    <row r="535">
      <c r="A535" s="67"/>
      <c r="B535" s="156"/>
      <c r="C535" s="157"/>
      <c r="D535" s="146"/>
      <c r="E535" s="145"/>
      <c r="F535" s="67"/>
      <c r="G535" s="67"/>
    </row>
    <row r="536">
      <c r="A536" s="67"/>
      <c r="B536" s="156"/>
      <c r="C536" s="157"/>
      <c r="D536" s="146"/>
      <c r="E536" s="145"/>
      <c r="F536" s="67"/>
      <c r="G536" s="67"/>
    </row>
    <row r="537">
      <c r="A537" s="67"/>
      <c r="B537" s="156"/>
      <c r="C537" s="157"/>
      <c r="D537" s="146"/>
      <c r="E537" s="145"/>
      <c r="F537" s="67"/>
      <c r="G537" s="67"/>
    </row>
    <row r="538">
      <c r="A538" s="67"/>
      <c r="B538" s="156"/>
      <c r="C538" s="157"/>
      <c r="D538" s="146"/>
      <c r="E538" s="145"/>
      <c r="F538" s="67"/>
      <c r="G538" s="67"/>
    </row>
    <row r="539">
      <c r="A539" s="67"/>
      <c r="B539" s="156"/>
      <c r="C539" s="157"/>
      <c r="D539" s="146"/>
      <c r="E539" s="145"/>
      <c r="F539" s="67"/>
      <c r="G539" s="67"/>
    </row>
    <row r="540">
      <c r="A540" s="67"/>
      <c r="B540" s="156"/>
      <c r="C540" s="157"/>
      <c r="D540" s="146"/>
      <c r="E540" s="145"/>
      <c r="F540" s="67"/>
      <c r="G540" s="67"/>
    </row>
    <row r="541">
      <c r="A541" s="67"/>
      <c r="B541" s="156"/>
      <c r="C541" s="157"/>
      <c r="D541" s="146"/>
      <c r="E541" s="145"/>
      <c r="F541" s="67"/>
      <c r="G541" s="67"/>
    </row>
    <row r="542">
      <c r="A542" s="67"/>
      <c r="B542" s="156"/>
      <c r="C542" s="157"/>
      <c r="D542" s="146"/>
      <c r="E542" s="145"/>
      <c r="F542" s="67"/>
      <c r="G542" s="67"/>
    </row>
    <row r="543">
      <c r="A543" s="67"/>
      <c r="B543" s="156"/>
      <c r="C543" s="157"/>
      <c r="D543" s="146"/>
      <c r="E543" s="145"/>
      <c r="F543" s="67"/>
      <c r="G543" s="67"/>
    </row>
    <row r="544">
      <c r="A544" s="67"/>
      <c r="B544" s="156"/>
      <c r="C544" s="157"/>
      <c r="D544" s="146"/>
      <c r="E544" s="145"/>
      <c r="F544" s="67"/>
      <c r="G544" s="67"/>
    </row>
    <row r="545">
      <c r="A545" s="67"/>
      <c r="B545" s="156"/>
      <c r="C545" s="157"/>
      <c r="D545" s="146"/>
      <c r="E545" s="145"/>
      <c r="F545" s="67"/>
      <c r="G545" s="67"/>
    </row>
    <row r="546">
      <c r="A546" s="67"/>
      <c r="B546" s="156"/>
      <c r="C546" s="157"/>
      <c r="D546" s="146"/>
      <c r="E546" s="145"/>
      <c r="F546" s="67"/>
      <c r="G546" s="67"/>
    </row>
    <row r="547">
      <c r="A547" s="67"/>
      <c r="B547" s="156"/>
      <c r="C547" s="157"/>
      <c r="D547" s="146"/>
      <c r="E547" s="145"/>
      <c r="F547" s="67"/>
      <c r="G547" s="67"/>
    </row>
    <row r="548">
      <c r="A548" s="67"/>
      <c r="B548" s="156"/>
      <c r="C548" s="157"/>
      <c r="D548" s="146"/>
      <c r="E548" s="145"/>
      <c r="F548" s="67"/>
      <c r="G548" s="67"/>
    </row>
    <row r="549">
      <c r="A549" s="67"/>
      <c r="B549" s="156"/>
      <c r="C549" s="157"/>
      <c r="D549" s="146"/>
      <c r="E549" s="145"/>
      <c r="F549" s="67"/>
      <c r="G549" s="67"/>
    </row>
    <row r="550">
      <c r="A550" s="67"/>
      <c r="B550" s="156"/>
      <c r="C550" s="157"/>
      <c r="D550" s="146"/>
      <c r="E550" s="145"/>
      <c r="F550" s="67"/>
      <c r="G550" s="67"/>
    </row>
    <row r="551">
      <c r="A551" s="67"/>
      <c r="B551" s="156"/>
      <c r="C551" s="157"/>
      <c r="D551" s="146"/>
      <c r="E551" s="145"/>
      <c r="F551" s="67"/>
      <c r="G551" s="67"/>
    </row>
    <row r="552">
      <c r="A552" s="67"/>
      <c r="B552" s="156"/>
      <c r="C552" s="157"/>
      <c r="D552" s="146"/>
      <c r="E552" s="145"/>
      <c r="F552" s="67"/>
      <c r="G552" s="67"/>
    </row>
    <row r="553">
      <c r="A553" s="67"/>
      <c r="B553" s="156"/>
      <c r="C553" s="157"/>
      <c r="D553" s="146"/>
      <c r="E553" s="145"/>
      <c r="F553" s="67"/>
      <c r="G553" s="67"/>
    </row>
    <row r="554">
      <c r="A554" s="67"/>
      <c r="B554" s="156"/>
      <c r="C554" s="157"/>
      <c r="D554" s="146"/>
      <c r="E554" s="145"/>
      <c r="F554" s="67"/>
      <c r="G554" s="67"/>
    </row>
    <row r="555">
      <c r="A555" s="67"/>
      <c r="B555" s="156"/>
      <c r="C555" s="157"/>
      <c r="D555" s="146"/>
      <c r="E555" s="145"/>
      <c r="F555" s="67"/>
      <c r="G555" s="67"/>
    </row>
    <row r="556">
      <c r="A556" s="67"/>
      <c r="B556" s="156"/>
      <c r="C556" s="157"/>
      <c r="D556" s="146"/>
      <c r="E556" s="145"/>
      <c r="F556" s="67"/>
      <c r="G556" s="67"/>
    </row>
    <row r="557">
      <c r="A557" s="67"/>
      <c r="B557" s="156"/>
      <c r="C557" s="157"/>
      <c r="D557" s="146"/>
      <c r="E557" s="145"/>
      <c r="F557" s="67"/>
      <c r="G557" s="67"/>
    </row>
    <row r="558">
      <c r="A558" s="67"/>
      <c r="B558" s="156"/>
      <c r="C558" s="157"/>
      <c r="D558" s="146"/>
      <c r="E558" s="145"/>
      <c r="F558" s="67"/>
      <c r="G558" s="67"/>
    </row>
    <row r="559">
      <c r="A559" s="67"/>
      <c r="B559" s="156"/>
      <c r="C559" s="157"/>
      <c r="D559" s="146"/>
      <c r="E559" s="145"/>
      <c r="F559" s="67"/>
      <c r="G559" s="67"/>
    </row>
    <row r="560">
      <c r="A560" s="67"/>
      <c r="B560" s="156"/>
      <c r="C560" s="157"/>
      <c r="D560" s="146"/>
      <c r="E560" s="145"/>
      <c r="F560" s="67"/>
      <c r="G560" s="67"/>
    </row>
    <row r="561">
      <c r="A561" s="67"/>
      <c r="B561" s="156"/>
      <c r="C561" s="157"/>
      <c r="D561" s="146"/>
      <c r="E561" s="145"/>
      <c r="F561" s="67"/>
      <c r="G561" s="67"/>
    </row>
    <row r="562">
      <c r="A562" s="67"/>
      <c r="B562" s="156"/>
      <c r="C562" s="157"/>
      <c r="D562" s="146"/>
      <c r="E562" s="145"/>
      <c r="F562" s="67"/>
      <c r="G562" s="67"/>
    </row>
    <row r="563">
      <c r="A563" s="67"/>
      <c r="B563" s="156"/>
      <c r="C563" s="157"/>
      <c r="D563" s="146"/>
      <c r="E563" s="145"/>
      <c r="F563" s="67"/>
      <c r="G563" s="67"/>
    </row>
    <row r="564">
      <c r="A564" s="67"/>
      <c r="B564" s="156"/>
      <c r="C564" s="157"/>
      <c r="D564" s="146"/>
      <c r="E564" s="145"/>
      <c r="F564" s="67"/>
      <c r="G564" s="67"/>
    </row>
    <row r="565">
      <c r="A565" s="67"/>
      <c r="B565" s="156"/>
      <c r="C565" s="157"/>
      <c r="D565" s="146"/>
      <c r="E565" s="145"/>
      <c r="F565" s="67"/>
      <c r="G565" s="67"/>
    </row>
    <row r="566">
      <c r="A566" s="67"/>
      <c r="B566" s="156"/>
      <c r="C566" s="157"/>
      <c r="D566" s="146"/>
      <c r="E566" s="145"/>
      <c r="F566" s="67"/>
      <c r="G566" s="67"/>
    </row>
    <row r="567">
      <c r="A567" s="67"/>
      <c r="B567" s="156"/>
      <c r="C567" s="157"/>
      <c r="D567" s="146"/>
      <c r="E567" s="145"/>
      <c r="F567" s="67"/>
      <c r="G567" s="67"/>
    </row>
    <row r="568">
      <c r="A568" s="67"/>
      <c r="B568" s="156"/>
      <c r="C568" s="157"/>
      <c r="D568" s="146"/>
      <c r="E568" s="145"/>
      <c r="F568" s="67"/>
      <c r="G568" s="67"/>
    </row>
    <row r="569">
      <c r="A569" s="67"/>
      <c r="B569" s="156"/>
      <c r="C569" s="157"/>
      <c r="D569" s="146"/>
      <c r="E569" s="145"/>
      <c r="F569" s="67"/>
      <c r="G569" s="67"/>
    </row>
    <row r="570">
      <c r="A570" s="67"/>
      <c r="B570" s="156"/>
      <c r="C570" s="157"/>
      <c r="D570" s="146"/>
      <c r="E570" s="145"/>
      <c r="F570" s="67"/>
      <c r="G570" s="67"/>
    </row>
    <row r="571">
      <c r="A571" s="67"/>
      <c r="B571" s="156"/>
      <c r="C571" s="157"/>
      <c r="D571" s="146"/>
      <c r="E571" s="145"/>
      <c r="F571" s="67"/>
      <c r="G571" s="67"/>
    </row>
    <row r="572">
      <c r="A572" s="67"/>
      <c r="B572" s="156"/>
      <c r="C572" s="157"/>
      <c r="D572" s="146"/>
      <c r="E572" s="145"/>
      <c r="F572" s="67"/>
      <c r="G572" s="67"/>
    </row>
    <row r="573">
      <c r="A573" s="67"/>
      <c r="B573" s="156"/>
      <c r="C573" s="157"/>
      <c r="D573" s="146"/>
      <c r="E573" s="145"/>
      <c r="F573" s="67"/>
      <c r="G573" s="67"/>
    </row>
    <row r="574">
      <c r="A574" s="67"/>
      <c r="B574" s="156"/>
      <c r="C574" s="157"/>
      <c r="D574" s="146"/>
      <c r="E574" s="145"/>
      <c r="F574" s="67"/>
      <c r="G574" s="67"/>
    </row>
    <row r="575">
      <c r="A575" s="67"/>
      <c r="B575" s="156"/>
      <c r="C575" s="157"/>
      <c r="D575" s="146"/>
      <c r="E575" s="145"/>
      <c r="F575" s="67"/>
      <c r="G575" s="67"/>
    </row>
    <row r="576">
      <c r="A576" s="67"/>
      <c r="B576" s="156"/>
      <c r="C576" s="157"/>
      <c r="D576" s="146"/>
      <c r="E576" s="145"/>
      <c r="F576" s="67"/>
      <c r="G576" s="67"/>
    </row>
    <row r="577">
      <c r="A577" s="67"/>
      <c r="B577" s="156"/>
      <c r="C577" s="157"/>
      <c r="D577" s="146"/>
      <c r="E577" s="145"/>
      <c r="F577" s="67"/>
      <c r="G577" s="67"/>
    </row>
    <row r="578">
      <c r="A578" s="67"/>
      <c r="B578" s="156"/>
      <c r="C578" s="157"/>
      <c r="D578" s="146"/>
      <c r="E578" s="145"/>
      <c r="F578" s="67"/>
      <c r="G578" s="67"/>
    </row>
    <row r="579">
      <c r="A579" s="67"/>
      <c r="B579" s="156"/>
      <c r="C579" s="157"/>
      <c r="D579" s="146"/>
      <c r="E579" s="145"/>
      <c r="F579" s="67"/>
      <c r="G579" s="67"/>
    </row>
    <row r="580">
      <c r="A580" s="67"/>
      <c r="B580" s="156"/>
      <c r="C580" s="157"/>
      <c r="D580" s="146"/>
      <c r="E580" s="145"/>
      <c r="F580" s="67"/>
      <c r="G580" s="67"/>
    </row>
    <row r="581">
      <c r="A581" s="67"/>
      <c r="B581" s="156"/>
      <c r="C581" s="157"/>
      <c r="D581" s="146"/>
      <c r="E581" s="145"/>
      <c r="F581" s="67"/>
      <c r="G581" s="67"/>
    </row>
    <row r="582">
      <c r="A582" s="67"/>
      <c r="B582" s="156"/>
      <c r="C582" s="157"/>
      <c r="D582" s="146"/>
      <c r="E582" s="145"/>
      <c r="F582" s="67"/>
      <c r="G582" s="67"/>
    </row>
    <row r="583">
      <c r="A583" s="67"/>
      <c r="B583" s="156"/>
      <c r="C583" s="157"/>
      <c r="D583" s="146"/>
      <c r="E583" s="145"/>
      <c r="F583" s="67"/>
      <c r="G583" s="67"/>
    </row>
    <row r="584">
      <c r="A584" s="67"/>
      <c r="B584" s="156"/>
      <c r="C584" s="157"/>
      <c r="D584" s="146"/>
      <c r="E584" s="145"/>
      <c r="F584" s="67"/>
      <c r="G584" s="67"/>
    </row>
    <row r="585">
      <c r="A585" s="67"/>
      <c r="B585" s="156"/>
      <c r="C585" s="157"/>
      <c r="D585" s="146"/>
      <c r="E585" s="145"/>
      <c r="F585" s="67"/>
      <c r="G585" s="67"/>
    </row>
    <row r="586">
      <c r="A586" s="67"/>
      <c r="B586" s="156"/>
      <c r="C586" s="157"/>
      <c r="D586" s="146"/>
      <c r="E586" s="145"/>
      <c r="F586" s="67"/>
      <c r="G586" s="67"/>
    </row>
    <row r="587">
      <c r="A587" s="67"/>
      <c r="B587" s="156"/>
      <c r="C587" s="157"/>
      <c r="D587" s="146"/>
      <c r="E587" s="145"/>
      <c r="F587" s="67"/>
      <c r="G587" s="67"/>
    </row>
    <row r="588">
      <c r="A588" s="67"/>
      <c r="B588" s="156"/>
      <c r="C588" s="157"/>
      <c r="D588" s="146"/>
      <c r="E588" s="145"/>
      <c r="F588" s="67"/>
      <c r="G588" s="67"/>
    </row>
    <row r="589">
      <c r="A589" s="67"/>
      <c r="B589" s="156"/>
      <c r="C589" s="157"/>
      <c r="D589" s="146"/>
      <c r="E589" s="145"/>
      <c r="F589" s="67"/>
      <c r="G589" s="67"/>
    </row>
    <row r="590">
      <c r="A590" s="67"/>
      <c r="B590" s="156"/>
      <c r="C590" s="157"/>
      <c r="D590" s="146"/>
      <c r="E590" s="145"/>
      <c r="F590" s="67"/>
      <c r="G590" s="67"/>
    </row>
    <row r="591">
      <c r="A591" s="67"/>
      <c r="B591" s="156"/>
      <c r="C591" s="157"/>
      <c r="D591" s="146"/>
      <c r="E591" s="145"/>
      <c r="F591" s="67"/>
      <c r="G591" s="67"/>
    </row>
    <row r="592">
      <c r="A592" s="67"/>
      <c r="B592" s="156"/>
      <c r="C592" s="157"/>
      <c r="D592" s="146"/>
      <c r="E592" s="145"/>
      <c r="F592" s="67"/>
      <c r="G592" s="67"/>
    </row>
    <row r="593">
      <c r="A593" s="67"/>
      <c r="B593" s="156"/>
      <c r="C593" s="157"/>
      <c r="D593" s="146"/>
      <c r="E593" s="145"/>
      <c r="F593" s="67"/>
      <c r="G593" s="67"/>
    </row>
    <row r="594">
      <c r="A594" s="67"/>
      <c r="B594" s="156"/>
      <c r="C594" s="157"/>
      <c r="D594" s="146"/>
      <c r="E594" s="145"/>
      <c r="F594" s="67"/>
      <c r="G594" s="67"/>
    </row>
    <row r="595">
      <c r="A595" s="67"/>
      <c r="B595" s="156"/>
      <c r="C595" s="157"/>
      <c r="D595" s="146"/>
      <c r="E595" s="145"/>
      <c r="F595" s="67"/>
      <c r="G595" s="67"/>
    </row>
    <row r="596">
      <c r="A596" s="67"/>
      <c r="B596" s="156"/>
      <c r="C596" s="157"/>
      <c r="D596" s="146"/>
      <c r="E596" s="145"/>
      <c r="F596" s="67"/>
      <c r="G596" s="67"/>
    </row>
    <row r="597">
      <c r="A597" s="67"/>
      <c r="B597" s="156"/>
      <c r="C597" s="157"/>
      <c r="D597" s="146"/>
      <c r="E597" s="145"/>
      <c r="F597" s="67"/>
      <c r="G597" s="67"/>
    </row>
    <row r="598">
      <c r="A598" s="67"/>
      <c r="B598" s="156"/>
      <c r="C598" s="157"/>
      <c r="D598" s="146"/>
      <c r="E598" s="145"/>
      <c r="F598" s="67"/>
      <c r="G598" s="67"/>
    </row>
    <row r="599">
      <c r="A599" s="67"/>
      <c r="B599" s="156"/>
      <c r="C599" s="157"/>
      <c r="D599" s="146"/>
      <c r="E599" s="145"/>
      <c r="F599" s="67"/>
      <c r="G599" s="67"/>
    </row>
    <row r="600">
      <c r="A600" s="67"/>
      <c r="B600" s="156"/>
      <c r="C600" s="157"/>
      <c r="D600" s="146"/>
      <c r="E600" s="145"/>
      <c r="F600" s="67"/>
      <c r="G600" s="67"/>
    </row>
    <row r="601">
      <c r="A601" s="67"/>
      <c r="B601" s="156"/>
      <c r="C601" s="157"/>
      <c r="D601" s="146"/>
      <c r="E601" s="145"/>
      <c r="F601" s="67"/>
      <c r="G601" s="67"/>
    </row>
    <row r="602">
      <c r="A602" s="67"/>
      <c r="B602" s="156"/>
      <c r="C602" s="157"/>
      <c r="D602" s="146"/>
      <c r="E602" s="145"/>
      <c r="F602" s="67"/>
      <c r="G602" s="67"/>
    </row>
    <row r="603">
      <c r="A603" s="67"/>
      <c r="B603" s="156"/>
      <c r="C603" s="157"/>
      <c r="D603" s="146"/>
      <c r="E603" s="145"/>
      <c r="F603" s="67"/>
      <c r="G603" s="67"/>
    </row>
    <row r="604">
      <c r="A604" s="67"/>
      <c r="B604" s="156"/>
      <c r="C604" s="157"/>
      <c r="D604" s="146"/>
      <c r="E604" s="145"/>
      <c r="F604" s="67"/>
      <c r="G604" s="67"/>
    </row>
    <row r="605">
      <c r="A605" s="67"/>
      <c r="B605" s="156"/>
      <c r="C605" s="157"/>
      <c r="D605" s="146"/>
      <c r="E605" s="145"/>
      <c r="F605" s="67"/>
      <c r="G605" s="67"/>
    </row>
    <row r="606">
      <c r="A606" s="67"/>
      <c r="B606" s="156"/>
      <c r="C606" s="157"/>
      <c r="D606" s="146"/>
      <c r="E606" s="145"/>
      <c r="F606" s="67"/>
      <c r="G606" s="67"/>
    </row>
    <row r="607">
      <c r="A607" s="67"/>
      <c r="B607" s="156"/>
      <c r="C607" s="157"/>
      <c r="D607" s="146"/>
      <c r="E607" s="145"/>
      <c r="F607" s="67"/>
      <c r="G607" s="67"/>
    </row>
    <row r="608">
      <c r="A608" s="67"/>
      <c r="B608" s="156"/>
      <c r="C608" s="157"/>
      <c r="D608" s="146"/>
      <c r="E608" s="145"/>
      <c r="F608" s="67"/>
      <c r="G608" s="67"/>
    </row>
    <row r="609">
      <c r="A609" s="67"/>
      <c r="B609" s="156"/>
      <c r="C609" s="157"/>
      <c r="D609" s="146"/>
      <c r="E609" s="145"/>
      <c r="F609" s="67"/>
      <c r="G609" s="67"/>
    </row>
    <row r="610">
      <c r="A610" s="67"/>
      <c r="B610" s="156"/>
      <c r="C610" s="157"/>
      <c r="D610" s="146"/>
      <c r="E610" s="145"/>
      <c r="F610" s="67"/>
      <c r="G610" s="67"/>
    </row>
    <row r="611">
      <c r="A611" s="67"/>
      <c r="B611" s="156"/>
      <c r="C611" s="157"/>
      <c r="D611" s="146"/>
      <c r="E611" s="145"/>
      <c r="F611" s="67"/>
      <c r="G611" s="67"/>
    </row>
    <row r="612">
      <c r="A612" s="67"/>
      <c r="B612" s="156"/>
      <c r="C612" s="157"/>
      <c r="D612" s="146"/>
      <c r="E612" s="145"/>
      <c r="F612" s="67"/>
      <c r="G612" s="67"/>
    </row>
    <row r="613">
      <c r="A613" s="67"/>
      <c r="B613" s="156"/>
      <c r="C613" s="157"/>
      <c r="D613" s="146"/>
      <c r="E613" s="145"/>
      <c r="F613" s="67"/>
      <c r="G613" s="67"/>
    </row>
    <row r="614">
      <c r="A614" s="67"/>
      <c r="B614" s="156"/>
      <c r="C614" s="157"/>
      <c r="D614" s="146"/>
      <c r="E614" s="145"/>
      <c r="F614" s="67"/>
      <c r="G614" s="67"/>
    </row>
    <row r="615">
      <c r="A615" s="67"/>
      <c r="B615" s="156"/>
      <c r="C615" s="157"/>
      <c r="D615" s="146"/>
      <c r="E615" s="145"/>
      <c r="F615" s="67"/>
      <c r="G615" s="67"/>
    </row>
    <row r="616">
      <c r="A616" s="67"/>
      <c r="B616" s="156"/>
      <c r="C616" s="157"/>
      <c r="D616" s="146"/>
      <c r="E616" s="145"/>
      <c r="F616" s="67"/>
      <c r="G616" s="67"/>
    </row>
    <row r="617">
      <c r="A617" s="67"/>
      <c r="B617" s="156"/>
      <c r="C617" s="157"/>
      <c r="D617" s="146"/>
      <c r="E617" s="145"/>
      <c r="F617" s="67"/>
      <c r="G617" s="67"/>
    </row>
    <row r="618">
      <c r="A618" s="67"/>
      <c r="B618" s="156"/>
      <c r="C618" s="157"/>
      <c r="D618" s="146"/>
      <c r="E618" s="145"/>
      <c r="F618" s="67"/>
      <c r="G618" s="67"/>
    </row>
    <row r="619">
      <c r="A619" s="67"/>
      <c r="B619" s="156"/>
      <c r="C619" s="157"/>
      <c r="D619" s="146"/>
      <c r="E619" s="145"/>
      <c r="F619" s="67"/>
      <c r="G619" s="67"/>
    </row>
    <row r="620">
      <c r="A620" s="67"/>
      <c r="B620" s="156"/>
      <c r="C620" s="157"/>
      <c r="D620" s="146"/>
      <c r="E620" s="145"/>
      <c r="F620" s="67"/>
      <c r="G620" s="67"/>
    </row>
    <row r="621">
      <c r="A621" s="67"/>
      <c r="B621" s="156"/>
      <c r="C621" s="157"/>
      <c r="D621" s="146"/>
      <c r="E621" s="145"/>
      <c r="F621" s="67"/>
      <c r="G621" s="67"/>
    </row>
    <row r="622">
      <c r="A622" s="67"/>
      <c r="B622" s="156"/>
      <c r="C622" s="157"/>
      <c r="D622" s="146"/>
      <c r="E622" s="145"/>
      <c r="F622" s="67"/>
      <c r="G622" s="67"/>
    </row>
    <row r="623">
      <c r="A623" s="67"/>
      <c r="B623" s="156"/>
      <c r="C623" s="157"/>
      <c r="D623" s="146"/>
      <c r="E623" s="145"/>
      <c r="F623" s="67"/>
      <c r="G623" s="67"/>
    </row>
    <row r="624">
      <c r="A624" s="67"/>
      <c r="B624" s="156"/>
      <c r="C624" s="157"/>
      <c r="D624" s="146"/>
      <c r="E624" s="145"/>
      <c r="F624" s="67"/>
      <c r="G624" s="67"/>
    </row>
    <row r="625">
      <c r="A625" s="67"/>
      <c r="B625" s="156"/>
      <c r="C625" s="157"/>
      <c r="D625" s="146"/>
      <c r="E625" s="145"/>
      <c r="F625" s="67"/>
      <c r="G625" s="67"/>
    </row>
    <row r="626">
      <c r="A626" s="67"/>
      <c r="B626" s="156"/>
      <c r="C626" s="157"/>
      <c r="D626" s="146"/>
      <c r="E626" s="145"/>
      <c r="F626" s="67"/>
      <c r="G626" s="67"/>
    </row>
    <row r="627">
      <c r="A627" s="67"/>
      <c r="B627" s="156"/>
      <c r="C627" s="157"/>
      <c r="D627" s="146"/>
      <c r="E627" s="145"/>
      <c r="F627" s="67"/>
      <c r="G627" s="67"/>
    </row>
    <row r="628">
      <c r="A628" s="67"/>
      <c r="B628" s="156"/>
      <c r="C628" s="157"/>
      <c r="D628" s="146"/>
      <c r="E628" s="145"/>
      <c r="F628" s="67"/>
      <c r="G628" s="67"/>
    </row>
    <row r="629">
      <c r="A629" s="67"/>
      <c r="B629" s="156"/>
      <c r="C629" s="157"/>
      <c r="D629" s="146"/>
      <c r="E629" s="145"/>
      <c r="F629" s="67"/>
      <c r="G629" s="67"/>
    </row>
    <row r="630">
      <c r="A630" s="67"/>
      <c r="B630" s="156"/>
      <c r="C630" s="157"/>
      <c r="D630" s="146"/>
      <c r="E630" s="145"/>
      <c r="F630" s="67"/>
      <c r="G630" s="67"/>
    </row>
    <row r="631">
      <c r="A631" s="67"/>
      <c r="B631" s="156"/>
      <c r="C631" s="157"/>
      <c r="D631" s="146"/>
      <c r="E631" s="145"/>
      <c r="F631" s="67"/>
      <c r="G631" s="67"/>
    </row>
    <row r="632">
      <c r="A632" s="67"/>
      <c r="B632" s="156"/>
      <c r="C632" s="157"/>
      <c r="D632" s="146"/>
      <c r="E632" s="145"/>
      <c r="F632" s="67"/>
      <c r="G632" s="67"/>
    </row>
    <row r="633">
      <c r="A633" s="67"/>
      <c r="B633" s="156"/>
      <c r="C633" s="157"/>
      <c r="D633" s="146"/>
      <c r="E633" s="145"/>
      <c r="F633" s="67"/>
      <c r="G633" s="67"/>
    </row>
    <row r="634">
      <c r="A634" s="67"/>
      <c r="B634" s="156"/>
      <c r="C634" s="157"/>
      <c r="D634" s="146"/>
      <c r="E634" s="145"/>
      <c r="F634" s="67"/>
      <c r="G634" s="67"/>
    </row>
    <row r="635">
      <c r="A635" s="67"/>
      <c r="B635" s="156"/>
      <c r="C635" s="157"/>
      <c r="D635" s="146"/>
      <c r="E635" s="145"/>
      <c r="F635" s="67"/>
      <c r="G635" s="67"/>
    </row>
    <row r="636">
      <c r="A636" s="67"/>
      <c r="B636" s="156"/>
      <c r="C636" s="157"/>
      <c r="D636" s="146"/>
      <c r="E636" s="145"/>
      <c r="F636" s="67"/>
      <c r="G636" s="67"/>
    </row>
    <row r="637">
      <c r="A637" s="67"/>
      <c r="B637" s="156"/>
      <c r="C637" s="157"/>
      <c r="D637" s="146"/>
      <c r="E637" s="145"/>
      <c r="F637" s="67"/>
      <c r="G637" s="67"/>
    </row>
    <row r="638">
      <c r="A638" s="67"/>
      <c r="B638" s="156"/>
      <c r="C638" s="157"/>
      <c r="D638" s="146"/>
      <c r="E638" s="145"/>
      <c r="F638" s="67"/>
      <c r="G638" s="67"/>
    </row>
    <row r="639">
      <c r="A639" s="67"/>
      <c r="B639" s="156"/>
      <c r="C639" s="157"/>
      <c r="D639" s="146"/>
      <c r="E639" s="145"/>
      <c r="F639" s="67"/>
      <c r="G639" s="67"/>
    </row>
    <row r="640">
      <c r="A640" s="67"/>
      <c r="B640" s="156"/>
      <c r="C640" s="157"/>
      <c r="D640" s="146"/>
      <c r="E640" s="145"/>
      <c r="F640" s="67"/>
      <c r="G640" s="67"/>
    </row>
    <row r="641">
      <c r="A641" s="67"/>
      <c r="B641" s="156"/>
      <c r="C641" s="157"/>
      <c r="D641" s="146"/>
      <c r="E641" s="145"/>
      <c r="F641" s="67"/>
      <c r="G641" s="67"/>
    </row>
    <row r="642">
      <c r="A642" s="67"/>
      <c r="B642" s="156"/>
      <c r="C642" s="157"/>
      <c r="D642" s="146"/>
      <c r="E642" s="145"/>
      <c r="F642" s="67"/>
      <c r="G642" s="67"/>
    </row>
    <row r="643">
      <c r="A643" s="67"/>
      <c r="B643" s="156"/>
      <c r="C643" s="157"/>
      <c r="D643" s="146"/>
      <c r="E643" s="145"/>
      <c r="F643" s="67"/>
      <c r="G643" s="67"/>
    </row>
    <row r="644">
      <c r="A644" s="67"/>
      <c r="B644" s="156"/>
      <c r="C644" s="157"/>
      <c r="D644" s="146"/>
      <c r="E644" s="145"/>
      <c r="F644" s="67"/>
      <c r="G644" s="67"/>
    </row>
    <row r="645">
      <c r="A645" s="67"/>
      <c r="B645" s="156"/>
      <c r="C645" s="157"/>
      <c r="D645" s="146"/>
      <c r="E645" s="145"/>
      <c r="F645" s="67"/>
      <c r="G645" s="67"/>
    </row>
    <row r="646">
      <c r="A646" s="67"/>
      <c r="B646" s="156"/>
      <c r="C646" s="157"/>
      <c r="D646" s="146"/>
      <c r="E646" s="145"/>
      <c r="F646" s="67"/>
      <c r="G646" s="67"/>
    </row>
    <row r="647">
      <c r="A647" s="67"/>
      <c r="B647" s="156"/>
      <c r="C647" s="157"/>
      <c r="D647" s="146"/>
      <c r="E647" s="145"/>
      <c r="F647" s="67"/>
      <c r="G647" s="67"/>
    </row>
    <row r="648">
      <c r="A648" s="67"/>
      <c r="B648" s="156"/>
      <c r="C648" s="157"/>
      <c r="D648" s="146"/>
      <c r="E648" s="145"/>
      <c r="F648" s="67"/>
      <c r="G648" s="67"/>
    </row>
    <row r="649">
      <c r="A649" s="67"/>
      <c r="B649" s="156"/>
      <c r="C649" s="157"/>
      <c r="D649" s="146"/>
      <c r="E649" s="145"/>
      <c r="F649" s="67"/>
      <c r="G649" s="67"/>
    </row>
    <row r="650">
      <c r="A650" s="67"/>
      <c r="B650" s="156"/>
      <c r="C650" s="157"/>
      <c r="D650" s="146"/>
      <c r="E650" s="145"/>
      <c r="F650" s="67"/>
      <c r="G650" s="67"/>
    </row>
    <row r="651">
      <c r="A651" s="67"/>
      <c r="B651" s="156"/>
      <c r="C651" s="157"/>
      <c r="D651" s="146"/>
      <c r="E651" s="145"/>
      <c r="F651" s="67"/>
      <c r="G651" s="67"/>
    </row>
    <row r="652">
      <c r="A652" s="67"/>
      <c r="B652" s="156"/>
      <c r="C652" s="157"/>
      <c r="D652" s="146"/>
      <c r="E652" s="145"/>
      <c r="F652" s="67"/>
      <c r="G652" s="67"/>
    </row>
    <row r="653">
      <c r="A653" s="67"/>
      <c r="B653" s="156"/>
      <c r="C653" s="157"/>
      <c r="D653" s="146"/>
      <c r="E653" s="145"/>
      <c r="F653" s="67"/>
      <c r="G653" s="67"/>
    </row>
    <row r="654">
      <c r="A654" s="67"/>
      <c r="B654" s="156"/>
      <c r="C654" s="157"/>
      <c r="D654" s="146"/>
      <c r="E654" s="145"/>
      <c r="F654" s="67"/>
      <c r="G654" s="67"/>
    </row>
    <row r="655">
      <c r="A655" s="67"/>
      <c r="B655" s="156"/>
      <c r="C655" s="157"/>
      <c r="D655" s="146"/>
      <c r="E655" s="145"/>
      <c r="F655" s="67"/>
      <c r="G655" s="67"/>
    </row>
    <row r="656">
      <c r="A656" s="67"/>
      <c r="B656" s="156"/>
      <c r="C656" s="157"/>
      <c r="D656" s="146"/>
      <c r="E656" s="145"/>
      <c r="F656" s="67"/>
      <c r="G656" s="67"/>
    </row>
    <row r="657">
      <c r="A657" s="67"/>
      <c r="B657" s="156"/>
      <c r="C657" s="157"/>
      <c r="D657" s="146"/>
      <c r="E657" s="145"/>
      <c r="F657" s="67"/>
      <c r="G657" s="67"/>
    </row>
    <row r="658">
      <c r="A658" s="67"/>
      <c r="B658" s="156"/>
      <c r="C658" s="157"/>
      <c r="D658" s="146"/>
      <c r="E658" s="145"/>
      <c r="F658" s="67"/>
      <c r="G658" s="67"/>
    </row>
    <row r="659">
      <c r="A659" s="67"/>
      <c r="B659" s="156"/>
      <c r="C659" s="157"/>
      <c r="D659" s="146"/>
      <c r="E659" s="145"/>
      <c r="F659" s="67"/>
      <c r="G659" s="67"/>
    </row>
    <row r="660">
      <c r="A660" s="67"/>
      <c r="B660" s="156"/>
      <c r="C660" s="157"/>
      <c r="D660" s="146"/>
      <c r="E660" s="145"/>
      <c r="F660" s="67"/>
      <c r="G660" s="67"/>
    </row>
    <row r="661">
      <c r="A661" s="67"/>
      <c r="B661" s="156"/>
      <c r="C661" s="157"/>
      <c r="D661" s="146"/>
      <c r="E661" s="145"/>
      <c r="F661" s="67"/>
      <c r="G661" s="67"/>
    </row>
    <row r="662">
      <c r="A662" s="67"/>
      <c r="B662" s="156"/>
      <c r="C662" s="157"/>
      <c r="D662" s="146"/>
      <c r="E662" s="145"/>
      <c r="F662" s="67"/>
      <c r="G662" s="67"/>
    </row>
    <row r="663">
      <c r="A663" s="67"/>
      <c r="B663" s="156"/>
      <c r="C663" s="157"/>
      <c r="D663" s="146"/>
      <c r="E663" s="145"/>
      <c r="F663" s="67"/>
      <c r="G663" s="67"/>
    </row>
    <row r="664">
      <c r="A664" s="67"/>
      <c r="B664" s="156"/>
      <c r="C664" s="157"/>
      <c r="D664" s="146"/>
      <c r="E664" s="145"/>
      <c r="F664" s="67"/>
      <c r="G664" s="67"/>
    </row>
    <row r="665">
      <c r="A665" s="67"/>
      <c r="B665" s="156"/>
      <c r="C665" s="157"/>
      <c r="D665" s="146"/>
      <c r="E665" s="145"/>
      <c r="F665" s="67"/>
      <c r="G665" s="67"/>
    </row>
    <row r="666">
      <c r="A666" s="67"/>
      <c r="B666" s="156"/>
      <c r="C666" s="157"/>
      <c r="D666" s="146"/>
      <c r="E666" s="145"/>
      <c r="F666" s="67"/>
      <c r="G666" s="67"/>
    </row>
    <row r="667">
      <c r="A667" s="67"/>
      <c r="B667" s="156"/>
      <c r="C667" s="157"/>
      <c r="D667" s="146"/>
      <c r="E667" s="145"/>
      <c r="F667" s="67"/>
      <c r="G667" s="67"/>
    </row>
    <row r="668">
      <c r="A668" s="67"/>
      <c r="B668" s="156"/>
      <c r="C668" s="157"/>
      <c r="D668" s="146"/>
      <c r="E668" s="145"/>
      <c r="F668" s="67"/>
      <c r="G668" s="67"/>
    </row>
    <row r="669">
      <c r="A669" s="67"/>
      <c r="B669" s="156"/>
      <c r="C669" s="157"/>
      <c r="D669" s="146"/>
      <c r="E669" s="145"/>
      <c r="F669" s="67"/>
      <c r="G669" s="67"/>
    </row>
    <row r="670">
      <c r="A670" s="67"/>
      <c r="B670" s="156"/>
      <c r="C670" s="157"/>
      <c r="D670" s="146"/>
      <c r="E670" s="145"/>
      <c r="F670" s="67"/>
      <c r="G670" s="67"/>
    </row>
    <row r="671">
      <c r="A671" s="67"/>
      <c r="B671" s="156"/>
      <c r="C671" s="157"/>
      <c r="D671" s="146"/>
      <c r="E671" s="145"/>
      <c r="F671" s="67"/>
      <c r="G671" s="67"/>
    </row>
    <row r="672">
      <c r="A672" s="67"/>
      <c r="B672" s="156"/>
      <c r="C672" s="157"/>
      <c r="D672" s="146"/>
      <c r="E672" s="145"/>
      <c r="F672" s="67"/>
      <c r="G672" s="67"/>
    </row>
    <row r="673">
      <c r="A673" s="67"/>
      <c r="B673" s="156"/>
      <c r="C673" s="157"/>
      <c r="D673" s="146"/>
      <c r="E673" s="145"/>
      <c r="F673" s="67"/>
      <c r="G673" s="67"/>
    </row>
    <row r="674">
      <c r="A674" s="67"/>
      <c r="B674" s="156"/>
      <c r="C674" s="157"/>
      <c r="D674" s="146"/>
      <c r="E674" s="145"/>
      <c r="F674" s="67"/>
      <c r="G674" s="67"/>
    </row>
    <row r="675">
      <c r="A675" s="67"/>
      <c r="B675" s="156"/>
      <c r="C675" s="157"/>
      <c r="D675" s="146"/>
      <c r="E675" s="145"/>
      <c r="F675" s="67"/>
      <c r="G675" s="67"/>
    </row>
    <row r="676">
      <c r="A676" s="67"/>
      <c r="B676" s="156"/>
      <c r="C676" s="157"/>
      <c r="D676" s="146"/>
      <c r="E676" s="145"/>
      <c r="F676" s="67"/>
      <c r="G676" s="67"/>
    </row>
    <row r="677">
      <c r="A677" s="67"/>
      <c r="B677" s="156"/>
      <c r="C677" s="157"/>
      <c r="D677" s="146"/>
      <c r="E677" s="145"/>
      <c r="F677" s="67"/>
      <c r="G677" s="67"/>
    </row>
    <row r="678">
      <c r="A678" s="67"/>
      <c r="B678" s="156"/>
      <c r="C678" s="157"/>
      <c r="D678" s="146"/>
      <c r="E678" s="145"/>
      <c r="F678" s="67"/>
      <c r="G678" s="67"/>
    </row>
    <row r="679">
      <c r="A679" s="67"/>
      <c r="B679" s="156"/>
      <c r="C679" s="157"/>
      <c r="D679" s="146"/>
      <c r="E679" s="145"/>
      <c r="F679" s="67"/>
      <c r="G679" s="67"/>
    </row>
    <row r="680">
      <c r="A680" s="67"/>
      <c r="B680" s="156"/>
      <c r="C680" s="157"/>
      <c r="D680" s="146"/>
      <c r="E680" s="145"/>
      <c r="F680" s="67"/>
      <c r="G680" s="67"/>
    </row>
    <row r="681">
      <c r="A681" s="67"/>
      <c r="B681" s="156"/>
      <c r="C681" s="157"/>
      <c r="D681" s="146"/>
      <c r="E681" s="145"/>
      <c r="F681" s="67"/>
      <c r="G681" s="67"/>
    </row>
    <row r="682">
      <c r="A682" s="67"/>
      <c r="B682" s="156"/>
      <c r="C682" s="157"/>
      <c r="D682" s="146"/>
      <c r="E682" s="145"/>
      <c r="F682" s="67"/>
      <c r="G682" s="67"/>
    </row>
    <row r="683">
      <c r="A683" s="67"/>
      <c r="B683" s="156"/>
      <c r="C683" s="157"/>
      <c r="D683" s="146"/>
      <c r="E683" s="145"/>
      <c r="F683" s="67"/>
      <c r="G683" s="67"/>
    </row>
    <row r="684">
      <c r="A684" s="67"/>
      <c r="B684" s="156"/>
      <c r="C684" s="157"/>
      <c r="D684" s="146"/>
      <c r="E684" s="145"/>
      <c r="F684" s="67"/>
      <c r="G684" s="67"/>
    </row>
    <row r="685">
      <c r="A685" s="67"/>
      <c r="B685" s="156"/>
      <c r="C685" s="157"/>
      <c r="D685" s="146"/>
      <c r="E685" s="145"/>
      <c r="F685" s="67"/>
      <c r="G685" s="67"/>
    </row>
    <row r="686">
      <c r="A686" s="67"/>
      <c r="B686" s="156"/>
      <c r="C686" s="157"/>
      <c r="D686" s="146"/>
      <c r="E686" s="145"/>
      <c r="F686" s="67"/>
      <c r="G686" s="67"/>
    </row>
    <row r="687">
      <c r="A687" s="67"/>
      <c r="B687" s="156"/>
      <c r="C687" s="157"/>
      <c r="D687" s="146"/>
      <c r="E687" s="145"/>
      <c r="F687" s="67"/>
      <c r="G687" s="67"/>
    </row>
    <row r="688">
      <c r="A688" s="67"/>
      <c r="B688" s="156"/>
      <c r="C688" s="157"/>
      <c r="D688" s="146"/>
      <c r="E688" s="145"/>
      <c r="F688" s="67"/>
      <c r="G688" s="67"/>
    </row>
    <row r="689">
      <c r="A689" s="67"/>
      <c r="B689" s="156"/>
      <c r="C689" s="157"/>
      <c r="D689" s="146"/>
      <c r="E689" s="145"/>
      <c r="F689" s="67"/>
      <c r="G689" s="67"/>
    </row>
    <row r="690">
      <c r="A690" s="67"/>
      <c r="B690" s="156"/>
      <c r="C690" s="157"/>
      <c r="D690" s="146"/>
      <c r="E690" s="145"/>
      <c r="F690" s="67"/>
      <c r="G690" s="67"/>
    </row>
    <row r="691">
      <c r="A691" s="67"/>
      <c r="B691" s="156"/>
      <c r="C691" s="157"/>
      <c r="D691" s="146"/>
      <c r="E691" s="145"/>
      <c r="F691" s="67"/>
      <c r="G691" s="67"/>
    </row>
    <row r="692">
      <c r="A692" s="67"/>
      <c r="B692" s="156"/>
      <c r="C692" s="157"/>
      <c r="D692" s="146"/>
      <c r="E692" s="145"/>
      <c r="F692" s="67"/>
      <c r="G692" s="67"/>
    </row>
    <row r="693">
      <c r="A693" s="67"/>
      <c r="B693" s="156"/>
      <c r="C693" s="157"/>
      <c r="D693" s="146"/>
      <c r="E693" s="145"/>
      <c r="F693" s="67"/>
      <c r="G693" s="67"/>
    </row>
    <row r="694">
      <c r="A694" s="67"/>
      <c r="B694" s="156"/>
      <c r="C694" s="157"/>
      <c r="D694" s="146"/>
      <c r="E694" s="145"/>
      <c r="F694" s="67"/>
      <c r="G694" s="67"/>
    </row>
    <row r="695">
      <c r="A695" s="67"/>
      <c r="B695" s="156"/>
      <c r="C695" s="157"/>
      <c r="D695" s="146"/>
      <c r="E695" s="145"/>
      <c r="F695" s="67"/>
      <c r="G695" s="67"/>
    </row>
    <row r="696">
      <c r="A696" s="67"/>
      <c r="B696" s="156"/>
      <c r="C696" s="157"/>
      <c r="D696" s="146"/>
      <c r="E696" s="145"/>
      <c r="F696" s="67"/>
      <c r="G696" s="67"/>
    </row>
    <row r="697">
      <c r="A697" s="67"/>
      <c r="B697" s="156"/>
      <c r="C697" s="157"/>
      <c r="D697" s="146"/>
      <c r="E697" s="145"/>
      <c r="F697" s="67"/>
      <c r="G697" s="67"/>
    </row>
    <row r="698">
      <c r="A698" s="67"/>
      <c r="B698" s="156"/>
      <c r="C698" s="157"/>
      <c r="D698" s="146"/>
      <c r="E698" s="145"/>
      <c r="F698" s="67"/>
      <c r="G698" s="67"/>
    </row>
    <row r="699">
      <c r="A699" s="67"/>
      <c r="B699" s="156"/>
      <c r="C699" s="157"/>
      <c r="D699" s="146"/>
      <c r="E699" s="145"/>
      <c r="F699" s="67"/>
      <c r="G699" s="67"/>
    </row>
    <row r="700">
      <c r="A700" s="67"/>
      <c r="B700" s="156"/>
      <c r="C700" s="157"/>
      <c r="D700" s="146"/>
      <c r="E700" s="145"/>
      <c r="F700" s="67"/>
      <c r="G700" s="67"/>
    </row>
    <row r="701">
      <c r="A701" s="67"/>
      <c r="B701" s="156"/>
      <c r="C701" s="157"/>
      <c r="D701" s="146"/>
      <c r="E701" s="145"/>
      <c r="F701" s="67"/>
      <c r="G701" s="67"/>
    </row>
    <row r="702">
      <c r="A702" s="67"/>
      <c r="B702" s="156"/>
      <c r="C702" s="157"/>
      <c r="D702" s="146"/>
      <c r="E702" s="145"/>
      <c r="F702" s="67"/>
      <c r="G702" s="67"/>
    </row>
    <row r="703">
      <c r="A703" s="67"/>
      <c r="B703" s="156"/>
      <c r="C703" s="157"/>
      <c r="D703" s="146"/>
      <c r="E703" s="145"/>
      <c r="F703" s="67"/>
      <c r="G703" s="67"/>
    </row>
    <row r="704">
      <c r="A704" s="67"/>
      <c r="B704" s="156"/>
      <c r="C704" s="157"/>
      <c r="D704" s="146"/>
      <c r="E704" s="145"/>
      <c r="F704" s="67"/>
      <c r="G704" s="67"/>
    </row>
    <row r="705">
      <c r="A705" s="67"/>
      <c r="B705" s="156"/>
      <c r="C705" s="157"/>
      <c r="D705" s="146"/>
      <c r="E705" s="145"/>
      <c r="F705" s="67"/>
      <c r="G705" s="67"/>
    </row>
    <row r="706">
      <c r="A706" s="67"/>
      <c r="B706" s="156"/>
      <c r="C706" s="157"/>
      <c r="D706" s="146"/>
      <c r="E706" s="145"/>
      <c r="F706" s="67"/>
      <c r="G706" s="67"/>
    </row>
    <row r="707">
      <c r="A707" s="67"/>
      <c r="B707" s="156"/>
      <c r="C707" s="157"/>
      <c r="D707" s="146"/>
      <c r="E707" s="145"/>
      <c r="F707" s="67"/>
      <c r="G707" s="67"/>
    </row>
    <row r="708">
      <c r="A708" s="67"/>
      <c r="B708" s="156"/>
      <c r="C708" s="157"/>
      <c r="D708" s="146"/>
      <c r="E708" s="145"/>
      <c r="F708" s="67"/>
      <c r="G708" s="67"/>
    </row>
    <row r="709">
      <c r="A709" s="67"/>
      <c r="B709" s="156"/>
      <c r="C709" s="157"/>
      <c r="D709" s="146"/>
      <c r="E709" s="145"/>
      <c r="F709" s="67"/>
      <c r="G709" s="67"/>
    </row>
    <row r="710">
      <c r="A710" s="67"/>
      <c r="B710" s="156"/>
      <c r="C710" s="157"/>
      <c r="D710" s="146"/>
      <c r="E710" s="145"/>
      <c r="F710" s="67"/>
      <c r="G710" s="67"/>
    </row>
    <row r="711">
      <c r="A711" s="67"/>
      <c r="B711" s="156"/>
      <c r="C711" s="157"/>
      <c r="D711" s="146"/>
      <c r="E711" s="145"/>
      <c r="F711" s="67"/>
      <c r="G711" s="67"/>
    </row>
    <row r="712">
      <c r="A712" s="67"/>
      <c r="B712" s="156"/>
      <c r="C712" s="157"/>
      <c r="D712" s="146"/>
      <c r="E712" s="145"/>
      <c r="F712" s="67"/>
      <c r="G712" s="67"/>
    </row>
    <row r="713">
      <c r="A713" s="67"/>
      <c r="B713" s="156"/>
      <c r="C713" s="157"/>
      <c r="D713" s="146"/>
      <c r="E713" s="145"/>
      <c r="F713" s="67"/>
      <c r="G713" s="67"/>
    </row>
    <row r="714">
      <c r="A714" s="67"/>
      <c r="B714" s="156"/>
      <c r="C714" s="157"/>
      <c r="D714" s="146"/>
      <c r="E714" s="145"/>
      <c r="F714" s="67"/>
      <c r="G714" s="67"/>
    </row>
    <row r="715">
      <c r="A715" s="67"/>
      <c r="B715" s="156"/>
      <c r="C715" s="157"/>
      <c r="D715" s="146"/>
      <c r="E715" s="145"/>
      <c r="F715" s="67"/>
      <c r="G715" s="67"/>
    </row>
    <row r="716">
      <c r="A716" s="67"/>
      <c r="B716" s="156"/>
      <c r="C716" s="157"/>
      <c r="D716" s="146"/>
      <c r="E716" s="145"/>
      <c r="F716" s="67"/>
      <c r="G716" s="67"/>
    </row>
    <row r="717">
      <c r="A717" s="67"/>
      <c r="B717" s="156"/>
      <c r="C717" s="157"/>
      <c r="D717" s="146"/>
      <c r="E717" s="145"/>
      <c r="F717" s="67"/>
      <c r="G717" s="67"/>
    </row>
    <row r="718">
      <c r="A718" s="67"/>
      <c r="B718" s="156"/>
      <c r="C718" s="157"/>
      <c r="D718" s="146"/>
      <c r="E718" s="145"/>
      <c r="F718" s="67"/>
      <c r="G718" s="67"/>
    </row>
    <row r="719">
      <c r="A719" s="67"/>
      <c r="B719" s="156"/>
      <c r="C719" s="157"/>
      <c r="D719" s="146"/>
      <c r="E719" s="145"/>
      <c r="F719" s="67"/>
      <c r="G719" s="67"/>
    </row>
    <row r="720">
      <c r="A720" s="67"/>
      <c r="B720" s="156"/>
      <c r="C720" s="157"/>
      <c r="D720" s="146"/>
      <c r="E720" s="145"/>
      <c r="F720" s="67"/>
      <c r="G720" s="67"/>
    </row>
    <row r="721">
      <c r="A721" s="67"/>
      <c r="B721" s="156"/>
      <c r="C721" s="157"/>
      <c r="D721" s="146"/>
      <c r="E721" s="145"/>
      <c r="F721" s="67"/>
      <c r="G721" s="67"/>
    </row>
    <row r="722">
      <c r="A722" s="67"/>
      <c r="B722" s="156"/>
      <c r="C722" s="157"/>
      <c r="D722" s="146"/>
      <c r="E722" s="145"/>
      <c r="F722" s="67"/>
      <c r="G722" s="67"/>
    </row>
    <row r="723">
      <c r="A723" s="67"/>
      <c r="B723" s="156"/>
      <c r="C723" s="157"/>
      <c r="D723" s="146"/>
      <c r="E723" s="145"/>
      <c r="F723" s="67"/>
      <c r="G723" s="67"/>
    </row>
    <row r="724">
      <c r="A724" s="67"/>
      <c r="B724" s="156"/>
      <c r="C724" s="157"/>
      <c r="D724" s="146"/>
      <c r="E724" s="145"/>
      <c r="F724" s="67"/>
      <c r="G724" s="67"/>
    </row>
    <row r="725">
      <c r="A725" s="67"/>
      <c r="B725" s="156"/>
      <c r="C725" s="157"/>
      <c r="D725" s="146"/>
      <c r="E725" s="145"/>
      <c r="F725" s="67"/>
      <c r="G725" s="67"/>
    </row>
    <row r="726">
      <c r="A726" s="67"/>
      <c r="B726" s="156"/>
      <c r="C726" s="157"/>
      <c r="D726" s="146"/>
      <c r="E726" s="145"/>
      <c r="F726" s="67"/>
      <c r="G726" s="67"/>
    </row>
    <row r="727">
      <c r="A727" s="67"/>
      <c r="B727" s="156"/>
      <c r="C727" s="157"/>
      <c r="D727" s="146"/>
      <c r="E727" s="145"/>
      <c r="F727" s="67"/>
      <c r="G727" s="67"/>
    </row>
    <row r="728">
      <c r="A728" s="67"/>
      <c r="B728" s="156"/>
      <c r="C728" s="157"/>
      <c r="D728" s="146"/>
      <c r="E728" s="145"/>
      <c r="F728" s="67"/>
      <c r="G728" s="67"/>
    </row>
    <row r="729">
      <c r="A729" s="67"/>
      <c r="B729" s="156"/>
      <c r="C729" s="157"/>
      <c r="D729" s="146"/>
      <c r="E729" s="145"/>
      <c r="F729" s="67"/>
      <c r="G729" s="67"/>
    </row>
    <row r="730">
      <c r="A730" s="67"/>
      <c r="B730" s="156"/>
      <c r="C730" s="157"/>
      <c r="D730" s="146"/>
      <c r="E730" s="145"/>
      <c r="F730" s="67"/>
      <c r="G730" s="67"/>
    </row>
    <row r="731">
      <c r="A731" s="67"/>
      <c r="B731" s="156"/>
      <c r="C731" s="157"/>
      <c r="D731" s="146"/>
      <c r="E731" s="145"/>
      <c r="F731" s="67"/>
      <c r="G731" s="67"/>
    </row>
    <row r="732">
      <c r="A732" s="67"/>
      <c r="B732" s="156"/>
      <c r="C732" s="157"/>
      <c r="D732" s="146"/>
      <c r="E732" s="145"/>
      <c r="F732" s="67"/>
      <c r="G732" s="67"/>
    </row>
    <row r="733">
      <c r="A733" s="67"/>
      <c r="B733" s="156"/>
      <c r="C733" s="157"/>
      <c r="D733" s="146"/>
      <c r="E733" s="145"/>
      <c r="F733" s="67"/>
      <c r="G733" s="67"/>
    </row>
    <row r="734">
      <c r="A734" s="67"/>
      <c r="B734" s="156"/>
      <c r="C734" s="157"/>
      <c r="D734" s="146"/>
      <c r="E734" s="145"/>
      <c r="F734" s="67"/>
      <c r="G734" s="67"/>
    </row>
    <row r="735">
      <c r="A735" s="67"/>
      <c r="B735" s="156"/>
      <c r="C735" s="157"/>
      <c r="D735" s="146"/>
      <c r="E735" s="145"/>
      <c r="F735" s="67"/>
      <c r="G735" s="67"/>
    </row>
    <row r="736">
      <c r="A736" s="67"/>
      <c r="B736" s="156"/>
      <c r="C736" s="157"/>
      <c r="D736" s="146"/>
      <c r="E736" s="145"/>
      <c r="F736" s="67"/>
      <c r="G736" s="67"/>
    </row>
    <row r="737">
      <c r="A737" s="67"/>
      <c r="B737" s="156"/>
      <c r="C737" s="157"/>
      <c r="D737" s="146"/>
      <c r="E737" s="145"/>
      <c r="F737" s="67"/>
      <c r="G737" s="67"/>
    </row>
    <row r="738">
      <c r="A738" s="67"/>
      <c r="B738" s="156"/>
      <c r="C738" s="157"/>
      <c r="D738" s="146"/>
      <c r="E738" s="145"/>
      <c r="F738" s="67"/>
      <c r="G738" s="67"/>
    </row>
    <row r="739">
      <c r="A739" s="67"/>
      <c r="B739" s="156"/>
      <c r="C739" s="157"/>
      <c r="D739" s="146"/>
      <c r="E739" s="145"/>
      <c r="F739" s="67"/>
      <c r="G739" s="67"/>
    </row>
    <row r="740">
      <c r="A740" s="67"/>
      <c r="B740" s="156"/>
      <c r="C740" s="157"/>
      <c r="D740" s="146"/>
      <c r="E740" s="145"/>
      <c r="F740" s="67"/>
      <c r="G740" s="67"/>
    </row>
    <row r="741">
      <c r="A741" s="67"/>
      <c r="B741" s="156"/>
      <c r="C741" s="157"/>
      <c r="D741" s="146"/>
      <c r="E741" s="145"/>
      <c r="F741" s="67"/>
      <c r="G741" s="67"/>
    </row>
    <row r="742">
      <c r="A742" s="67"/>
      <c r="B742" s="156"/>
      <c r="C742" s="157"/>
      <c r="D742" s="146"/>
      <c r="E742" s="145"/>
      <c r="F742" s="67"/>
      <c r="G742" s="67"/>
    </row>
    <row r="743">
      <c r="A743" s="67"/>
      <c r="B743" s="156"/>
      <c r="C743" s="157"/>
      <c r="D743" s="146"/>
      <c r="E743" s="145"/>
      <c r="F743" s="67"/>
      <c r="G743" s="67"/>
    </row>
    <row r="744">
      <c r="A744" s="67"/>
      <c r="B744" s="156"/>
      <c r="C744" s="157"/>
      <c r="D744" s="146"/>
      <c r="E744" s="145"/>
      <c r="F744" s="67"/>
      <c r="G744" s="67"/>
    </row>
    <row r="745">
      <c r="A745" s="67"/>
      <c r="B745" s="156"/>
      <c r="C745" s="157"/>
      <c r="D745" s="146"/>
      <c r="E745" s="145"/>
      <c r="F745" s="67"/>
      <c r="G745" s="67"/>
    </row>
    <row r="746">
      <c r="A746" s="67"/>
      <c r="B746" s="156"/>
      <c r="C746" s="157"/>
      <c r="D746" s="146"/>
      <c r="E746" s="145"/>
      <c r="F746" s="67"/>
      <c r="G746" s="67"/>
    </row>
    <row r="747">
      <c r="A747" s="67"/>
      <c r="B747" s="156"/>
      <c r="C747" s="157"/>
      <c r="D747" s="146"/>
      <c r="E747" s="145"/>
      <c r="F747" s="67"/>
      <c r="G747" s="67"/>
    </row>
    <row r="748">
      <c r="A748" s="67"/>
      <c r="B748" s="156"/>
      <c r="C748" s="157"/>
      <c r="D748" s="146"/>
      <c r="E748" s="145"/>
      <c r="F748" s="67"/>
      <c r="G748" s="67"/>
    </row>
    <row r="749">
      <c r="A749" s="67"/>
      <c r="B749" s="156"/>
      <c r="C749" s="157"/>
      <c r="D749" s="146"/>
      <c r="E749" s="145"/>
      <c r="F749" s="67"/>
      <c r="G749" s="67"/>
    </row>
    <row r="750">
      <c r="A750" s="67"/>
      <c r="B750" s="156"/>
      <c r="C750" s="157"/>
      <c r="D750" s="146"/>
      <c r="E750" s="145"/>
      <c r="F750" s="67"/>
      <c r="G750" s="67"/>
    </row>
    <row r="751">
      <c r="A751" s="67"/>
      <c r="B751" s="156"/>
      <c r="C751" s="157"/>
      <c r="D751" s="146"/>
      <c r="E751" s="145"/>
      <c r="F751" s="67"/>
      <c r="G751" s="67"/>
    </row>
    <row r="752">
      <c r="A752" s="67"/>
      <c r="B752" s="156"/>
      <c r="C752" s="157"/>
      <c r="D752" s="146"/>
      <c r="E752" s="145"/>
      <c r="F752" s="67"/>
      <c r="G752" s="67"/>
    </row>
    <row r="753">
      <c r="A753" s="67"/>
      <c r="B753" s="156"/>
      <c r="C753" s="157"/>
      <c r="D753" s="146"/>
      <c r="E753" s="145"/>
      <c r="F753" s="67"/>
      <c r="G753" s="67"/>
    </row>
    <row r="754">
      <c r="A754" s="67"/>
      <c r="B754" s="156"/>
      <c r="C754" s="157"/>
      <c r="D754" s="146"/>
      <c r="E754" s="145"/>
      <c r="F754" s="67"/>
      <c r="G754" s="67"/>
    </row>
    <row r="755">
      <c r="A755" s="67"/>
      <c r="B755" s="156"/>
      <c r="C755" s="157"/>
      <c r="D755" s="146"/>
      <c r="E755" s="145"/>
      <c r="F755" s="67"/>
      <c r="G755" s="67"/>
    </row>
    <row r="756">
      <c r="A756" s="67"/>
      <c r="B756" s="156"/>
      <c r="C756" s="157"/>
      <c r="D756" s="146"/>
      <c r="E756" s="145"/>
      <c r="F756" s="67"/>
      <c r="G756" s="67"/>
    </row>
    <row r="757">
      <c r="A757" s="67"/>
      <c r="B757" s="156"/>
      <c r="C757" s="157"/>
      <c r="D757" s="146"/>
      <c r="E757" s="145"/>
      <c r="F757" s="67"/>
      <c r="G757" s="67"/>
    </row>
    <row r="758">
      <c r="A758" s="67"/>
      <c r="B758" s="156"/>
      <c r="C758" s="157"/>
      <c r="D758" s="146"/>
      <c r="E758" s="145"/>
      <c r="F758" s="67"/>
      <c r="G758" s="67"/>
    </row>
    <row r="759">
      <c r="A759" s="67"/>
      <c r="B759" s="156"/>
      <c r="C759" s="157"/>
      <c r="D759" s="146"/>
      <c r="E759" s="145"/>
      <c r="F759" s="67"/>
      <c r="G759" s="67"/>
    </row>
    <row r="760">
      <c r="A760" s="67"/>
      <c r="B760" s="156"/>
      <c r="C760" s="157"/>
      <c r="D760" s="146"/>
      <c r="E760" s="145"/>
      <c r="F760" s="67"/>
      <c r="G760" s="67"/>
    </row>
    <row r="761">
      <c r="A761" s="67"/>
      <c r="B761" s="156"/>
      <c r="C761" s="157"/>
      <c r="D761" s="146"/>
      <c r="E761" s="145"/>
      <c r="F761" s="67"/>
      <c r="G761" s="67"/>
    </row>
    <row r="762">
      <c r="A762" s="67"/>
      <c r="B762" s="156"/>
      <c r="C762" s="157"/>
      <c r="D762" s="146"/>
      <c r="E762" s="145"/>
      <c r="F762" s="67"/>
      <c r="G762" s="67"/>
    </row>
    <row r="763">
      <c r="A763" s="67"/>
      <c r="B763" s="156"/>
      <c r="C763" s="157"/>
      <c r="D763" s="146"/>
      <c r="E763" s="145"/>
      <c r="F763" s="67"/>
      <c r="G763" s="67"/>
    </row>
    <row r="764">
      <c r="A764" s="67"/>
      <c r="B764" s="156"/>
      <c r="C764" s="157"/>
      <c r="D764" s="146"/>
      <c r="E764" s="145"/>
      <c r="F764" s="67"/>
      <c r="G764" s="67"/>
    </row>
    <row r="765">
      <c r="A765" s="67"/>
      <c r="B765" s="156"/>
      <c r="C765" s="157"/>
      <c r="D765" s="146"/>
      <c r="E765" s="145"/>
      <c r="F765" s="67"/>
      <c r="G765" s="67"/>
    </row>
    <row r="766">
      <c r="A766" s="67"/>
      <c r="B766" s="156"/>
      <c r="C766" s="157"/>
      <c r="D766" s="146"/>
      <c r="E766" s="145"/>
      <c r="F766" s="67"/>
      <c r="G766" s="67"/>
    </row>
    <row r="767">
      <c r="A767" s="67"/>
      <c r="B767" s="156"/>
      <c r="C767" s="157"/>
      <c r="D767" s="146"/>
      <c r="E767" s="145"/>
      <c r="F767" s="67"/>
      <c r="G767" s="67"/>
    </row>
    <row r="768">
      <c r="A768" s="67"/>
      <c r="B768" s="156"/>
      <c r="C768" s="157"/>
      <c r="D768" s="146"/>
      <c r="E768" s="145"/>
      <c r="F768" s="67"/>
      <c r="G768" s="67"/>
    </row>
    <row r="769">
      <c r="A769" s="67"/>
      <c r="B769" s="156"/>
      <c r="C769" s="157"/>
      <c r="D769" s="146"/>
      <c r="E769" s="145"/>
      <c r="F769" s="67"/>
      <c r="G769" s="67"/>
    </row>
    <row r="770">
      <c r="A770" s="67"/>
      <c r="B770" s="156"/>
      <c r="C770" s="157"/>
      <c r="D770" s="146"/>
      <c r="E770" s="145"/>
      <c r="F770" s="67"/>
      <c r="G770" s="67"/>
    </row>
    <row r="771">
      <c r="A771" s="67"/>
      <c r="B771" s="156"/>
      <c r="C771" s="157"/>
      <c r="D771" s="146"/>
      <c r="E771" s="145"/>
      <c r="F771" s="67"/>
      <c r="G771" s="67"/>
    </row>
    <row r="772">
      <c r="A772" s="67"/>
      <c r="B772" s="156"/>
      <c r="C772" s="157"/>
      <c r="D772" s="146"/>
      <c r="E772" s="145"/>
      <c r="F772" s="67"/>
      <c r="G772" s="67"/>
    </row>
    <row r="773">
      <c r="A773" s="67"/>
      <c r="B773" s="156"/>
      <c r="C773" s="157"/>
      <c r="D773" s="146"/>
      <c r="E773" s="145"/>
      <c r="F773" s="67"/>
      <c r="G773" s="67"/>
    </row>
    <row r="774">
      <c r="A774" s="67"/>
      <c r="B774" s="156"/>
      <c r="C774" s="157"/>
      <c r="D774" s="146"/>
      <c r="E774" s="145"/>
      <c r="F774" s="67"/>
      <c r="G774" s="67"/>
    </row>
    <row r="775">
      <c r="A775" s="67"/>
      <c r="B775" s="156"/>
      <c r="C775" s="157"/>
      <c r="D775" s="146"/>
      <c r="E775" s="145"/>
      <c r="F775" s="67"/>
      <c r="G775" s="67"/>
    </row>
    <row r="776">
      <c r="A776" s="67"/>
      <c r="B776" s="156"/>
      <c r="C776" s="157"/>
      <c r="D776" s="146"/>
      <c r="E776" s="145"/>
      <c r="F776" s="67"/>
      <c r="G776" s="67"/>
    </row>
    <row r="777">
      <c r="A777" s="67"/>
      <c r="B777" s="156"/>
      <c r="C777" s="157"/>
      <c r="D777" s="146"/>
      <c r="E777" s="145"/>
      <c r="F777" s="67"/>
      <c r="G777" s="67"/>
    </row>
    <row r="778">
      <c r="A778" s="67"/>
      <c r="B778" s="156"/>
      <c r="C778" s="157"/>
      <c r="D778" s="146"/>
      <c r="E778" s="145"/>
      <c r="F778" s="67"/>
      <c r="G778" s="67"/>
    </row>
    <row r="779">
      <c r="A779" s="67"/>
      <c r="B779" s="156"/>
      <c r="C779" s="157"/>
      <c r="D779" s="146"/>
      <c r="E779" s="145"/>
      <c r="F779" s="67"/>
      <c r="G779" s="67"/>
    </row>
    <row r="780">
      <c r="A780" s="67"/>
      <c r="B780" s="156"/>
      <c r="C780" s="157"/>
      <c r="D780" s="146"/>
      <c r="E780" s="145"/>
      <c r="F780" s="67"/>
      <c r="G780" s="67"/>
    </row>
    <row r="781">
      <c r="A781" s="67"/>
      <c r="B781" s="156"/>
      <c r="C781" s="157"/>
      <c r="D781" s="146"/>
      <c r="E781" s="145"/>
      <c r="F781" s="67"/>
      <c r="G781" s="67"/>
    </row>
    <row r="782">
      <c r="A782" s="67"/>
      <c r="B782" s="156"/>
      <c r="C782" s="157"/>
      <c r="D782" s="146"/>
      <c r="E782" s="145"/>
      <c r="F782" s="67"/>
      <c r="G782" s="67"/>
    </row>
    <row r="783">
      <c r="A783" s="67"/>
      <c r="B783" s="156"/>
      <c r="C783" s="157"/>
      <c r="D783" s="146"/>
      <c r="E783" s="145"/>
      <c r="F783" s="67"/>
      <c r="G783" s="67"/>
    </row>
    <row r="784">
      <c r="A784" s="67"/>
      <c r="B784" s="156"/>
      <c r="C784" s="157"/>
      <c r="D784" s="146"/>
      <c r="E784" s="145"/>
      <c r="F784" s="67"/>
      <c r="G784" s="67"/>
    </row>
    <row r="785">
      <c r="A785" s="67"/>
      <c r="B785" s="156"/>
      <c r="C785" s="157"/>
      <c r="D785" s="146"/>
      <c r="E785" s="145"/>
      <c r="F785" s="67"/>
      <c r="G785" s="67"/>
    </row>
    <row r="786">
      <c r="A786" s="67"/>
      <c r="B786" s="156"/>
      <c r="C786" s="157"/>
      <c r="D786" s="146"/>
      <c r="E786" s="145"/>
      <c r="F786" s="67"/>
      <c r="G786" s="67"/>
    </row>
    <row r="787">
      <c r="A787" s="67"/>
      <c r="B787" s="156"/>
      <c r="C787" s="157"/>
      <c r="D787" s="146"/>
      <c r="E787" s="145"/>
      <c r="F787" s="67"/>
      <c r="G787" s="67"/>
    </row>
    <row r="788">
      <c r="A788" s="67"/>
      <c r="B788" s="156"/>
      <c r="C788" s="157"/>
      <c r="D788" s="146"/>
      <c r="E788" s="145"/>
      <c r="F788" s="67"/>
      <c r="G788" s="67"/>
    </row>
    <row r="789">
      <c r="A789" s="67"/>
      <c r="B789" s="156"/>
      <c r="C789" s="157"/>
      <c r="D789" s="146"/>
      <c r="E789" s="145"/>
      <c r="F789" s="67"/>
      <c r="G789" s="67"/>
    </row>
    <row r="790">
      <c r="A790" s="67"/>
      <c r="B790" s="156"/>
      <c r="C790" s="157"/>
      <c r="D790" s="146"/>
      <c r="E790" s="145"/>
      <c r="F790" s="67"/>
      <c r="G790" s="67"/>
    </row>
    <row r="791">
      <c r="A791" s="67"/>
      <c r="B791" s="156"/>
      <c r="C791" s="157"/>
      <c r="D791" s="146"/>
      <c r="E791" s="145"/>
      <c r="F791" s="67"/>
      <c r="G791" s="67"/>
    </row>
    <row r="792">
      <c r="A792" s="67"/>
      <c r="B792" s="156"/>
      <c r="C792" s="157"/>
      <c r="D792" s="146"/>
      <c r="E792" s="145"/>
      <c r="F792" s="67"/>
      <c r="G792" s="67"/>
    </row>
    <row r="793">
      <c r="A793" s="67"/>
      <c r="B793" s="156"/>
      <c r="C793" s="157"/>
      <c r="D793" s="146"/>
      <c r="E793" s="145"/>
      <c r="F793" s="67"/>
      <c r="G793" s="67"/>
    </row>
    <row r="794">
      <c r="A794" s="67"/>
      <c r="B794" s="156"/>
      <c r="C794" s="157"/>
      <c r="D794" s="146"/>
      <c r="E794" s="145"/>
      <c r="F794" s="67"/>
      <c r="G794" s="67"/>
    </row>
    <row r="795">
      <c r="A795" s="67"/>
      <c r="B795" s="156"/>
      <c r="C795" s="157"/>
      <c r="D795" s="146"/>
      <c r="E795" s="145"/>
      <c r="F795" s="67"/>
      <c r="G795" s="67"/>
    </row>
    <row r="796">
      <c r="A796" s="67"/>
      <c r="B796" s="156"/>
      <c r="C796" s="157"/>
      <c r="D796" s="146"/>
      <c r="E796" s="145"/>
      <c r="F796" s="67"/>
      <c r="G796" s="67"/>
    </row>
    <row r="797">
      <c r="A797" s="67"/>
      <c r="B797" s="156"/>
      <c r="C797" s="157"/>
      <c r="D797" s="146"/>
      <c r="E797" s="145"/>
      <c r="F797" s="67"/>
      <c r="G797" s="67"/>
    </row>
    <row r="798">
      <c r="A798" s="67"/>
      <c r="B798" s="156"/>
      <c r="C798" s="157"/>
      <c r="D798" s="146"/>
      <c r="E798" s="145"/>
      <c r="F798" s="67"/>
      <c r="G798" s="67"/>
    </row>
    <row r="799">
      <c r="A799" s="67"/>
      <c r="B799" s="156"/>
      <c r="C799" s="157"/>
      <c r="D799" s="146"/>
      <c r="E799" s="145"/>
      <c r="F799" s="67"/>
      <c r="G799" s="67"/>
    </row>
    <row r="800">
      <c r="A800" s="67"/>
      <c r="B800" s="156"/>
      <c r="C800" s="157"/>
      <c r="D800" s="146"/>
      <c r="E800" s="145"/>
      <c r="F800" s="67"/>
      <c r="G800" s="67"/>
    </row>
    <row r="801">
      <c r="A801" s="67"/>
      <c r="B801" s="156"/>
      <c r="C801" s="157"/>
      <c r="D801" s="146"/>
      <c r="E801" s="145"/>
      <c r="F801" s="67"/>
      <c r="G801" s="67"/>
    </row>
    <row r="802">
      <c r="A802" s="67"/>
      <c r="B802" s="156"/>
      <c r="C802" s="157"/>
      <c r="D802" s="146"/>
      <c r="E802" s="145"/>
      <c r="F802" s="67"/>
      <c r="G802" s="67"/>
    </row>
    <row r="803">
      <c r="A803" s="67"/>
      <c r="B803" s="156"/>
      <c r="C803" s="157"/>
      <c r="D803" s="146"/>
      <c r="E803" s="145"/>
      <c r="F803" s="67"/>
      <c r="G803" s="67"/>
    </row>
    <row r="804">
      <c r="A804" s="67"/>
      <c r="B804" s="156"/>
      <c r="C804" s="157"/>
      <c r="D804" s="146"/>
      <c r="E804" s="145"/>
      <c r="F804" s="67"/>
      <c r="G804" s="67"/>
    </row>
    <row r="805">
      <c r="A805" s="67"/>
      <c r="B805" s="156"/>
      <c r="C805" s="157"/>
      <c r="D805" s="146"/>
      <c r="E805" s="145"/>
      <c r="F805" s="67"/>
      <c r="G805" s="67"/>
    </row>
    <row r="806">
      <c r="A806" s="67"/>
      <c r="B806" s="156"/>
      <c r="C806" s="157"/>
      <c r="D806" s="146"/>
      <c r="E806" s="145"/>
      <c r="F806" s="67"/>
      <c r="G806" s="67"/>
    </row>
    <row r="807">
      <c r="A807" s="67"/>
      <c r="B807" s="156"/>
      <c r="C807" s="157"/>
      <c r="D807" s="146"/>
      <c r="E807" s="145"/>
      <c r="F807" s="67"/>
      <c r="G807" s="67"/>
    </row>
    <row r="808">
      <c r="A808" s="67"/>
      <c r="B808" s="156"/>
      <c r="C808" s="157"/>
      <c r="D808" s="146"/>
      <c r="E808" s="145"/>
      <c r="F808" s="67"/>
      <c r="G808" s="67"/>
    </row>
    <row r="809">
      <c r="A809" s="67"/>
      <c r="B809" s="156"/>
      <c r="C809" s="157"/>
      <c r="D809" s="146"/>
      <c r="E809" s="145"/>
      <c r="F809" s="67"/>
      <c r="G809" s="67"/>
    </row>
    <row r="810">
      <c r="A810" s="67"/>
      <c r="B810" s="156"/>
      <c r="C810" s="157"/>
      <c r="D810" s="146"/>
      <c r="E810" s="145"/>
      <c r="F810" s="67"/>
      <c r="G810" s="67"/>
    </row>
    <row r="811">
      <c r="A811" s="67"/>
      <c r="B811" s="156"/>
      <c r="C811" s="157"/>
      <c r="D811" s="146"/>
      <c r="E811" s="145"/>
      <c r="F811" s="67"/>
      <c r="G811" s="67"/>
    </row>
    <row r="812">
      <c r="A812" s="67"/>
      <c r="B812" s="156"/>
      <c r="C812" s="157"/>
      <c r="D812" s="146"/>
      <c r="E812" s="145"/>
      <c r="F812" s="67"/>
      <c r="G812" s="67"/>
    </row>
    <row r="813">
      <c r="A813" s="67"/>
      <c r="B813" s="156"/>
      <c r="C813" s="157"/>
      <c r="D813" s="146"/>
      <c r="E813" s="145"/>
      <c r="F813" s="67"/>
      <c r="G813" s="67"/>
    </row>
    <row r="814">
      <c r="A814" s="67"/>
      <c r="B814" s="156"/>
      <c r="C814" s="157"/>
      <c r="D814" s="146"/>
      <c r="E814" s="145"/>
      <c r="F814" s="67"/>
      <c r="G814" s="67"/>
    </row>
    <row r="815">
      <c r="A815" s="67"/>
      <c r="B815" s="156"/>
      <c r="C815" s="157"/>
      <c r="D815" s="146"/>
      <c r="E815" s="145"/>
      <c r="F815" s="67"/>
      <c r="G815" s="67"/>
    </row>
    <row r="816">
      <c r="A816" s="67"/>
      <c r="B816" s="156"/>
      <c r="C816" s="157"/>
      <c r="D816" s="146"/>
      <c r="E816" s="145"/>
      <c r="F816" s="67"/>
      <c r="G816" s="67"/>
    </row>
    <row r="817">
      <c r="A817" s="67"/>
      <c r="B817" s="156"/>
      <c r="C817" s="157"/>
      <c r="D817" s="146"/>
      <c r="E817" s="145"/>
      <c r="F817" s="67"/>
      <c r="G817" s="67"/>
    </row>
    <row r="818">
      <c r="A818" s="67"/>
      <c r="B818" s="156"/>
      <c r="C818" s="157"/>
      <c r="D818" s="146"/>
      <c r="E818" s="145"/>
      <c r="F818" s="67"/>
      <c r="G818" s="67"/>
    </row>
    <row r="819">
      <c r="A819" s="67"/>
      <c r="B819" s="156"/>
      <c r="C819" s="157"/>
      <c r="D819" s="146"/>
      <c r="E819" s="145"/>
      <c r="F819" s="67"/>
      <c r="G819" s="67"/>
    </row>
    <row r="820">
      <c r="A820" s="67"/>
      <c r="B820" s="156"/>
      <c r="C820" s="157"/>
      <c r="D820" s="146"/>
      <c r="E820" s="145"/>
      <c r="F820" s="67"/>
      <c r="G820" s="67"/>
    </row>
    <row r="821">
      <c r="A821" s="67"/>
      <c r="B821" s="156"/>
      <c r="C821" s="157"/>
      <c r="D821" s="146"/>
      <c r="E821" s="145"/>
      <c r="F821" s="67"/>
      <c r="G821" s="67"/>
    </row>
    <row r="822">
      <c r="A822" s="67"/>
      <c r="B822" s="156"/>
      <c r="C822" s="157"/>
      <c r="D822" s="146"/>
      <c r="E822" s="145"/>
      <c r="F822" s="67"/>
      <c r="G822" s="67"/>
    </row>
    <row r="823">
      <c r="A823" s="67"/>
      <c r="B823" s="156"/>
      <c r="C823" s="157"/>
      <c r="D823" s="146"/>
      <c r="E823" s="145"/>
      <c r="F823" s="67"/>
      <c r="G823" s="67"/>
    </row>
    <row r="824">
      <c r="A824" s="67"/>
      <c r="B824" s="156"/>
      <c r="C824" s="157"/>
      <c r="D824" s="146"/>
      <c r="E824" s="145"/>
      <c r="F824" s="67"/>
      <c r="G824" s="67"/>
    </row>
    <row r="825">
      <c r="A825" s="67"/>
      <c r="B825" s="156"/>
      <c r="C825" s="157"/>
      <c r="D825" s="146"/>
      <c r="E825" s="145"/>
      <c r="F825" s="67"/>
      <c r="G825" s="67"/>
    </row>
    <row r="826">
      <c r="A826" s="67"/>
      <c r="B826" s="156"/>
      <c r="C826" s="157"/>
      <c r="D826" s="146"/>
      <c r="E826" s="145"/>
      <c r="F826" s="67"/>
      <c r="G826" s="67"/>
    </row>
    <row r="827">
      <c r="A827" s="67"/>
      <c r="B827" s="156"/>
      <c r="C827" s="157"/>
      <c r="D827" s="146"/>
      <c r="E827" s="145"/>
      <c r="F827" s="67"/>
      <c r="G827" s="67"/>
    </row>
    <row r="828">
      <c r="A828" s="67"/>
      <c r="B828" s="156"/>
      <c r="C828" s="157"/>
      <c r="D828" s="146"/>
      <c r="E828" s="145"/>
      <c r="F828" s="67"/>
      <c r="G828" s="67"/>
    </row>
    <row r="829">
      <c r="A829" s="67"/>
      <c r="B829" s="156"/>
      <c r="C829" s="157"/>
      <c r="D829" s="146"/>
      <c r="E829" s="145"/>
      <c r="F829" s="67"/>
      <c r="G829" s="67"/>
    </row>
    <row r="830">
      <c r="A830" s="67"/>
      <c r="B830" s="156"/>
      <c r="C830" s="157"/>
      <c r="D830" s="146"/>
      <c r="E830" s="145"/>
      <c r="F830" s="67"/>
      <c r="G830" s="67"/>
    </row>
    <row r="831">
      <c r="A831" s="67"/>
      <c r="B831" s="156"/>
      <c r="C831" s="157"/>
      <c r="D831" s="146"/>
      <c r="E831" s="145"/>
      <c r="F831" s="67"/>
      <c r="G831" s="67"/>
    </row>
    <row r="832">
      <c r="A832" s="67"/>
      <c r="B832" s="156"/>
      <c r="C832" s="157"/>
      <c r="D832" s="146"/>
      <c r="E832" s="145"/>
      <c r="F832" s="67"/>
      <c r="G832" s="67"/>
    </row>
    <row r="833">
      <c r="A833" s="67"/>
      <c r="B833" s="156"/>
      <c r="C833" s="157"/>
      <c r="D833" s="146"/>
      <c r="E833" s="145"/>
      <c r="F833" s="67"/>
      <c r="G833" s="67"/>
    </row>
    <row r="834">
      <c r="A834" s="67"/>
      <c r="B834" s="156"/>
      <c r="C834" s="157"/>
      <c r="D834" s="146"/>
      <c r="E834" s="145"/>
      <c r="F834" s="67"/>
      <c r="G834" s="67"/>
    </row>
    <row r="835">
      <c r="A835" s="67"/>
      <c r="B835" s="156"/>
      <c r="C835" s="157"/>
      <c r="D835" s="146"/>
      <c r="E835" s="145"/>
      <c r="F835" s="67"/>
      <c r="G835" s="67"/>
    </row>
    <row r="836">
      <c r="A836" s="67"/>
      <c r="B836" s="156"/>
      <c r="C836" s="157"/>
      <c r="D836" s="146"/>
      <c r="E836" s="145"/>
      <c r="F836" s="67"/>
      <c r="G836" s="67"/>
    </row>
    <row r="837">
      <c r="A837" s="67"/>
      <c r="B837" s="156"/>
      <c r="C837" s="157"/>
      <c r="D837" s="146"/>
      <c r="E837" s="145"/>
      <c r="F837" s="67"/>
      <c r="G837" s="67"/>
    </row>
    <row r="838">
      <c r="A838" s="67"/>
      <c r="B838" s="156"/>
      <c r="C838" s="157"/>
      <c r="D838" s="146"/>
      <c r="E838" s="145"/>
      <c r="F838" s="67"/>
      <c r="G838" s="67"/>
    </row>
    <row r="839">
      <c r="A839" s="67"/>
      <c r="B839" s="156"/>
      <c r="C839" s="157"/>
      <c r="D839" s="146"/>
      <c r="E839" s="145"/>
      <c r="F839" s="67"/>
      <c r="G839" s="67"/>
    </row>
    <row r="840">
      <c r="A840" s="67"/>
      <c r="B840" s="156"/>
      <c r="C840" s="157"/>
      <c r="D840" s="146"/>
      <c r="E840" s="145"/>
      <c r="F840" s="67"/>
      <c r="G840" s="67"/>
    </row>
    <row r="841">
      <c r="A841" s="67"/>
      <c r="B841" s="156"/>
      <c r="C841" s="157"/>
      <c r="D841" s="146"/>
      <c r="E841" s="145"/>
      <c r="F841" s="67"/>
      <c r="G841" s="67"/>
    </row>
    <row r="842">
      <c r="A842" s="67"/>
      <c r="B842" s="156"/>
      <c r="C842" s="157"/>
      <c r="D842" s="146"/>
      <c r="E842" s="145"/>
      <c r="F842" s="67"/>
      <c r="G842" s="67"/>
    </row>
    <row r="843">
      <c r="A843" s="67"/>
      <c r="B843" s="156"/>
      <c r="C843" s="157"/>
      <c r="D843" s="146"/>
      <c r="E843" s="145"/>
      <c r="F843" s="67"/>
      <c r="G843" s="67"/>
    </row>
    <row r="844">
      <c r="A844" s="67"/>
      <c r="B844" s="156"/>
      <c r="C844" s="157"/>
      <c r="D844" s="146"/>
      <c r="E844" s="145"/>
      <c r="F844" s="67"/>
      <c r="G844" s="67"/>
    </row>
    <row r="845">
      <c r="A845" s="67"/>
      <c r="B845" s="156"/>
      <c r="C845" s="157"/>
      <c r="D845" s="146"/>
      <c r="E845" s="145"/>
      <c r="F845" s="67"/>
      <c r="G845" s="67"/>
    </row>
    <row r="846">
      <c r="A846" s="67"/>
      <c r="B846" s="156"/>
      <c r="C846" s="157"/>
      <c r="D846" s="146"/>
      <c r="E846" s="145"/>
      <c r="F846" s="67"/>
      <c r="G846" s="67"/>
    </row>
    <row r="847">
      <c r="A847" s="67"/>
      <c r="B847" s="156"/>
      <c r="C847" s="157"/>
      <c r="D847" s="146"/>
      <c r="E847" s="145"/>
      <c r="F847" s="67"/>
      <c r="G847" s="67"/>
    </row>
    <row r="848">
      <c r="A848" s="67"/>
      <c r="B848" s="156"/>
      <c r="C848" s="157"/>
      <c r="D848" s="146"/>
      <c r="E848" s="145"/>
      <c r="F848" s="67"/>
      <c r="G848" s="67"/>
    </row>
    <row r="849">
      <c r="A849" s="67"/>
      <c r="B849" s="156"/>
      <c r="C849" s="157"/>
      <c r="D849" s="146"/>
      <c r="E849" s="145"/>
      <c r="F849" s="67"/>
      <c r="G849" s="67"/>
    </row>
    <row r="850">
      <c r="A850" s="67"/>
      <c r="B850" s="156"/>
      <c r="C850" s="157"/>
      <c r="D850" s="146"/>
      <c r="E850" s="145"/>
      <c r="F850" s="67"/>
      <c r="G850" s="67"/>
    </row>
    <row r="851">
      <c r="A851" s="67"/>
      <c r="B851" s="156"/>
      <c r="C851" s="157"/>
      <c r="D851" s="146"/>
      <c r="E851" s="145"/>
      <c r="F851" s="67"/>
      <c r="G851" s="67"/>
    </row>
    <row r="852">
      <c r="A852" s="67"/>
      <c r="B852" s="156"/>
      <c r="C852" s="157"/>
      <c r="D852" s="146"/>
      <c r="E852" s="145"/>
      <c r="F852" s="67"/>
      <c r="G852" s="67"/>
    </row>
    <row r="853">
      <c r="A853" s="67"/>
      <c r="B853" s="156"/>
      <c r="C853" s="157"/>
      <c r="D853" s="146"/>
      <c r="E853" s="145"/>
      <c r="F853" s="67"/>
      <c r="G853" s="67"/>
    </row>
    <row r="854">
      <c r="A854" s="67"/>
      <c r="B854" s="156"/>
      <c r="C854" s="157"/>
      <c r="D854" s="146"/>
      <c r="E854" s="145"/>
      <c r="F854" s="67"/>
      <c r="G854" s="67"/>
    </row>
    <row r="855">
      <c r="A855" s="67"/>
      <c r="B855" s="156"/>
      <c r="C855" s="157"/>
      <c r="D855" s="146"/>
      <c r="E855" s="145"/>
      <c r="F855" s="67"/>
      <c r="G855" s="67"/>
    </row>
    <row r="856">
      <c r="A856" s="67"/>
      <c r="B856" s="156"/>
      <c r="C856" s="157"/>
      <c r="D856" s="146"/>
      <c r="E856" s="145"/>
      <c r="F856" s="67"/>
      <c r="G856" s="67"/>
    </row>
    <row r="857">
      <c r="A857" s="67"/>
      <c r="B857" s="156"/>
      <c r="C857" s="157"/>
      <c r="D857" s="146"/>
      <c r="E857" s="145"/>
      <c r="F857" s="67"/>
      <c r="G857" s="67"/>
    </row>
    <row r="858">
      <c r="A858" s="67"/>
      <c r="B858" s="156"/>
      <c r="C858" s="157"/>
      <c r="D858" s="146"/>
      <c r="E858" s="145"/>
      <c r="F858" s="67"/>
      <c r="G858" s="67"/>
    </row>
    <row r="859">
      <c r="A859" s="67"/>
      <c r="B859" s="156"/>
      <c r="C859" s="157"/>
      <c r="D859" s="146"/>
      <c r="E859" s="145"/>
      <c r="F859" s="67"/>
      <c r="G859" s="67"/>
    </row>
    <row r="860">
      <c r="A860" s="67"/>
      <c r="B860" s="156"/>
      <c r="C860" s="157"/>
      <c r="D860" s="146"/>
      <c r="E860" s="145"/>
      <c r="F860" s="67"/>
      <c r="G860" s="67"/>
    </row>
    <row r="861">
      <c r="A861" s="67"/>
      <c r="B861" s="156"/>
      <c r="C861" s="157"/>
      <c r="D861" s="146"/>
      <c r="E861" s="145"/>
      <c r="F861" s="67"/>
      <c r="G861" s="67"/>
    </row>
    <row r="862">
      <c r="A862" s="67"/>
      <c r="B862" s="156"/>
      <c r="C862" s="157"/>
      <c r="D862" s="146"/>
      <c r="E862" s="145"/>
      <c r="F862" s="67"/>
      <c r="G862" s="67"/>
    </row>
    <row r="863">
      <c r="A863" s="67"/>
      <c r="B863" s="156"/>
      <c r="C863" s="157"/>
      <c r="D863" s="146"/>
      <c r="E863" s="145"/>
      <c r="F863" s="67"/>
      <c r="G863" s="67"/>
    </row>
    <row r="864">
      <c r="A864" s="67"/>
      <c r="B864" s="156"/>
      <c r="C864" s="157"/>
      <c r="D864" s="146"/>
      <c r="E864" s="145"/>
      <c r="F864" s="67"/>
      <c r="G864" s="67"/>
    </row>
    <row r="865">
      <c r="A865" s="67"/>
      <c r="B865" s="156"/>
      <c r="C865" s="157"/>
      <c r="D865" s="146"/>
      <c r="E865" s="145"/>
      <c r="F865" s="67"/>
      <c r="G865" s="67"/>
    </row>
    <row r="866">
      <c r="A866" s="67"/>
      <c r="B866" s="156"/>
      <c r="C866" s="157"/>
      <c r="D866" s="146"/>
      <c r="E866" s="145"/>
      <c r="F866" s="67"/>
      <c r="G866" s="67"/>
    </row>
    <row r="867">
      <c r="A867" s="67"/>
      <c r="B867" s="156"/>
      <c r="C867" s="157"/>
      <c r="D867" s="146"/>
      <c r="E867" s="145"/>
      <c r="F867" s="67"/>
      <c r="G867" s="67"/>
    </row>
    <row r="868">
      <c r="A868" s="67"/>
      <c r="B868" s="156"/>
      <c r="C868" s="157"/>
      <c r="D868" s="146"/>
      <c r="E868" s="145"/>
      <c r="F868" s="67"/>
      <c r="G868" s="67"/>
    </row>
    <row r="869">
      <c r="A869" s="67"/>
      <c r="B869" s="156"/>
      <c r="C869" s="157"/>
      <c r="D869" s="146"/>
      <c r="E869" s="145"/>
      <c r="F869" s="67"/>
      <c r="G869" s="67"/>
    </row>
    <row r="870">
      <c r="A870" s="67"/>
      <c r="B870" s="156"/>
      <c r="C870" s="157"/>
      <c r="D870" s="146"/>
      <c r="E870" s="145"/>
      <c r="F870" s="67"/>
      <c r="G870" s="67"/>
    </row>
    <row r="871">
      <c r="A871" s="67"/>
      <c r="B871" s="156"/>
      <c r="C871" s="157"/>
      <c r="D871" s="146"/>
      <c r="E871" s="145"/>
      <c r="F871" s="67"/>
      <c r="G871" s="67"/>
    </row>
    <row r="872">
      <c r="A872" s="67"/>
      <c r="B872" s="156"/>
      <c r="C872" s="157"/>
      <c r="D872" s="146"/>
      <c r="E872" s="145"/>
      <c r="F872" s="67"/>
      <c r="G872" s="67"/>
    </row>
    <row r="873">
      <c r="A873" s="67"/>
      <c r="B873" s="156"/>
      <c r="C873" s="157"/>
      <c r="D873" s="146"/>
      <c r="E873" s="145"/>
      <c r="F873" s="67"/>
      <c r="G873" s="67"/>
    </row>
    <row r="874">
      <c r="A874" s="67"/>
      <c r="B874" s="156"/>
      <c r="C874" s="157"/>
      <c r="D874" s="146"/>
      <c r="E874" s="145"/>
      <c r="F874" s="67"/>
      <c r="G874" s="67"/>
    </row>
    <row r="875">
      <c r="A875" s="67"/>
      <c r="B875" s="156"/>
      <c r="C875" s="157"/>
      <c r="D875" s="146"/>
      <c r="E875" s="145"/>
      <c r="F875" s="67"/>
      <c r="G875" s="67"/>
    </row>
    <row r="876">
      <c r="A876" s="67"/>
      <c r="B876" s="156"/>
      <c r="C876" s="157"/>
      <c r="D876" s="146"/>
      <c r="E876" s="145"/>
      <c r="F876" s="67"/>
      <c r="G876" s="67"/>
    </row>
    <row r="877">
      <c r="A877" s="67"/>
      <c r="B877" s="156"/>
      <c r="C877" s="157"/>
      <c r="D877" s="146"/>
      <c r="E877" s="145"/>
      <c r="F877" s="67"/>
      <c r="G877" s="67"/>
    </row>
    <row r="878">
      <c r="A878" s="67"/>
      <c r="B878" s="156"/>
      <c r="C878" s="157"/>
      <c r="D878" s="146"/>
      <c r="E878" s="145"/>
      <c r="F878" s="67"/>
      <c r="G878" s="67"/>
    </row>
    <row r="879">
      <c r="A879" s="67"/>
      <c r="B879" s="156"/>
      <c r="C879" s="157"/>
      <c r="D879" s="146"/>
      <c r="E879" s="145"/>
      <c r="F879" s="67"/>
      <c r="G879" s="67"/>
    </row>
    <row r="880">
      <c r="A880" s="67"/>
      <c r="B880" s="156"/>
      <c r="C880" s="157"/>
      <c r="D880" s="146"/>
      <c r="E880" s="145"/>
      <c r="F880" s="67"/>
      <c r="G880" s="67"/>
    </row>
    <row r="881">
      <c r="A881" s="67"/>
      <c r="B881" s="156"/>
      <c r="C881" s="157"/>
      <c r="D881" s="146"/>
      <c r="E881" s="145"/>
      <c r="F881" s="67"/>
      <c r="G881" s="67"/>
    </row>
    <row r="882">
      <c r="A882" s="67"/>
      <c r="B882" s="156"/>
      <c r="C882" s="157"/>
      <c r="D882" s="146"/>
      <c r="E882" s="145"/>
      <c r="F882" s="67"/>
      <c r="G882" s="67"/>
    </row>
    <row r="883">
      <c r="A883" s="67"/>
      <c r="B883" s="156"/>
      <c r="C883" s="157"/>
      <c r="D883" s="146"/>
      <c r="E883" s="145"/>
      <c r="F883" s="67"/>
      <c r="G883" s="67"/>
    </row>
    <row r="884">
      <c r="A884" s="67"/>
      <c r="B884" s="156"/>
      <c r="C884" s="157"/>
      <c r="D884" s="146"/>
      <c r="E884" s="145"/>
      <c r="F884" s="67"/>
      <c r="G884" s="67"/>
    </row>
    <row r="885">
      <c r="A885" s="67"/>
      <c r="B885" s="156"/>
      <c r="C885" s="157"/>
      <c r="D885" s="146"/>
      <c r="E885" s="145"/>
      <c r="F885" s="67"/>
      <c r="G885" s="67"/>
    </row>
    <row r="886">
      <c r="A886" s="67"/>
      <c r="B886" s="156"/>
      <c r="C886" s="157"/>
      <c r="D886" s="146"/>
      <c r="E886" s="145"/>
      <c r="F886" s="67"/>
      <c r="G886" s="67"/>
    </row>
    <row r="887">
      <c r="A887" s="67"/>
      <c r="B887" s="156"/>
      <c r="C887" s="157"/>
      <c r="D887" s="146"/>
      <c r="E887" s="145"/>
      <c r="F887" s="67"/>
      <c r="G887" s="67"/>
    </row>
    <row r="888">
      <c r="A888" s="67"/>
      <c r="B888" s="156"/>
      <c r="C888" s="157"/>
      <c r="D888" s="146"/>
      <c r="E888" s="145"/>
      <c r="F888" s="67"/>
      <c r="G888" s="67"/>
    </row>
    <row r="889">
      <c r="A889" s="67"/>
      <c r="B889" s="156"/>
      <c r="C889" s="157"/>
      <c r="D889" s="146"/>
      <c r="E889" s="145"/>
      <c r="F889" s="67"/>
      <c r="G889" s="67"/>
    </row>
    <row r="890">
      <c r="A890" s="67"/>
      <c r="B890" s="156"/>
      <c r="C890" s="157"/>
      <c r="D890" s="146"/>
      <c r="E890" s="145"/>
      <c r="F890" s="67"/>
      <c r="G890" s="67"/>
    </row>
    <row r="891">
      <c r="A891" s="67"/>
      <c r="B891" s="156"/>
      <c r="C891" s="157"/>
      <c r="D891" s="146"/>
      <c r="E891" s="145"/>
      <c r="F891" s="67"/>
      <c r="G891" s="67"/>
    </row>
    <row r="892">
      <c r="A892" s="67"/>
      <c r="B892" s="156"/>
      <c r="C892" s="157"/>
      <c r="D892" s="146"/>
      <c r="E892" s="145"/>
      <c r="F892" s="67"/>
      <c r="G892" s="67"/>
    </row>
    <row r="893">
      <c r="A893" s="67"/>
      <c r="B893" s="156"/>
      <c r="C893" s="157"/>
      <c r="D893" s="146"/>
      <c r="E893" s="145"/>
      <c r="F893" s="67"/>
      <c r="G893" s="67"/>
    </row>
    <row r="894">
      <c r="A894" s="67"/>
      <c r="B894" s="156"/>
      <c r="C894" s="157"/>
      <c r="D894" s="146"/>
      <c r="E894" s="145"/>
      <c r="F894" s="67"/>
      <c r="G894" s="67"/>
    </row>
    <row r="895">
      <c r="A895" s="67"/>
      <c r="B895" s="156"/>
      <c r="C895" s="157"/>
      <c r="D895" s="146"/>
      <c r="E895" s="145"/>
      <c r="F895" s="67"/>
      <c r="G895" s="67"/>
    </row>
    <row r="896">
      <c r="A896" s="67"/>
      <c r="B896" s="156"/>
      <c r="C896" s="157"/>
      <c r="D896" s="146"/>
      <c r="E896" s="145"/>
      <c r="F896" s="67"/>
      <c r="G896" s="67"/>
    </row>
    <row r="897">
      <c r="A897" s="67"/>
      <c r="B897" s="156"/>
      <c r="C897" s="157"/>
      <c r="D897" s="146"/>
      <c r="E897" s="145"/>
      <c r="F897" s="67"/>
      <c r="G897" s="67"/>
    </row>
    <row r="898">
      <c r="A898" s="67"/>
      <c r="B898" s="156"/>
      <c r="C898" s="157"/>
      <c r="D898" s="146"/>
      <c r="E898" s="145"/>
      <c r="F898" s="67"/>
      <c r="G898" s="67"/>
    </row>
    <row r="899">
      <c r="A899" s="67"/>
      <c r="B899" s="156"/>
      <c r="C899" s="157"/>
      <c r="D899" s="146"/>
      <c r="E899" s="145"/>
      <c r="F899" s="67"/>
      <c r="G899" s="67"/>
    </row>
    <row r="900">
      <c r="A900" s="67"/>
      <c r="B900" s="156"/>
      <c r="C900" s="157"/>
      <c r="D900" s="146"/>
      <c r="E900" s="145"/>
      <c r="F900" s="67"/>
      <c r="G900" s="67"/>
    </row>
    <row r="901">
      <c r="A901" s="67"/>
      <c r="B901" s="156"/>
      <c r="C901" s="157"/>
      <c r="D901" s="146"/>
      <c r="E901" s="145"/>
      <c r="F901" s="67"/>
      <c r="G901" s="67"/>
    </row>
    <row r="902">
      <c r="A902" s="67"/>
      <c r="B902" s="156"/>
      <c r="C902" s="157"/>
      <c r="D902" s="146"/>
      <c r="E902" s="145"/>
      <c r="F902" s="67"/>
      <c r="G902" s="67"/>
    </row>
    <row r="903">
      <c r="A903" s="67"/>
      <c r="B903" s="156"/>
      <c r="C903" s="157"/>
      <c r="D903" s="146"/>
      <c r="E903" s="145"/>
      <c r="F903" s="67"/>
      <c r="G903" s="67"/>
    </row>
    <row r="904">
      <c r="A904" s="67"/>
      <c r="B904" s="156"/>
      <c r="C904" s="157"/>
      <c r="D904" s="146"/>
      <c r="E904" s="145"/>
      <c r="F904" s="67"/>
      <c r="G904" s="67"/>
    </row>
    <row r="905">
      <c r="A905" s="67"/>
      <c r="B905" s="156"/>
      <c r="C905" s="157"/>
      <c r="D905" s="146"/>
      <c r="E905" s="145"/>
      <c r="F905" s="67"/>
      <c r="G905" s="67"/>
    </row>
    <row r="906">
      <c r="A906" s="67"/>
      <c r="B906" s="156"/>
      <c r="C906" s="157"/>
      <c r="D906" s="146"/>
      <c r="E906" s="145"/>
      <c r="F906" s="67"/>
      <c r="G906" s="67"/>
    </row>
    <row r="907">
      <c r="A907" s="67"/>
      <c r="B907" s="156"/>
      <c r="C907" s="157"/>
      <c r="D907" s="146"/>
      <c r="E907" s="145"/>
      <c r="F907" s="67"/>
      <c r="G907" s="67"/>
    </row>
    <row r="908">
      <c r="A908" s="67"/>
      <c r="B908" s="156"/>
      <c r="C908" s="157"/>
      <c r="D908" s="146"/>
      <c r="E908" s="145"/>
      <c r="F908" s="67"/>
      <c r="G908" s="67"/>
    </row>
    <row r="909">
      <c r="A909" s="67"/>
      <c r="B909" s="156"/>
      <c r="C909" s="157"/>
      <c r="D909" s="146"/>
      <c r="E909" s="145"/>
      <c r="F909" s="67"/>
      <c r="G909" s="67"/>
    </row>
    <row r="910">
      <c r="A910" s="67"/>
      <c r="B910" s="156"/>
      <c r="C910" s="157"/>
      <c r="D910" s="146"/>
      <c r="E910" s="145"/>
      <c r="F910" s="67"/>
      <c r="G910" s="67"/>
    </row>
    <row r="911">
      <c r="A911" s="67"/>
      <c r="B911" s="156"/>
      <c r="C911" s="157"/>
      <c r="D911" s="146"/>
      <c r="E911" s="145"/>
      <c r="F911" s="67"/>
      <c r="G911" s="67"/>
    </row>
    <row r="912">
      <c r="A912" s="67"/>
      <c r="B912" s="156"/>
      <c r="C912" s="157"/>
      <c r="D912" s="146"/>
      <c r="E912" s="145"/>
      <c r="F912" s="67"/>
      <c r="G912" s="67"/>
    </row>
    <row r="913">
      <c r="A913" s="67"/>
      <c r="B913" s="156"/>
      <c r="C913" s="157"/>
      <c r="D913" s="146"/>
      <c r="E913" s="145"/>
      <c r="F913" s="67"/>
      <c r="G913" s="67"/>
    </row>
    <row r="914">
      <c r="A914" s="67"/>
      <c r="B914" s="156"/>
      <c r="C914" s="157"/>
      <c r="D914" s="146"/>
      <c r="E914" s="145"/>
      <c r="F914" s="67"/>
      <c r="G914" s="67"/>
    </row>
    <row r="915">
      <c r="A915" s="67"/>
      <c r="B915" s="156"/>
      <c r="C915" s="157"/>
      <c r="D915" s="146"/>
      <c r="E915" s="145"/>
      <c r="F915" s="67"/>
      <c r="G915" s="67"/>
    </row>
    <row r="916">
      <c r="A916" s="67"/>
      <c r="B916" s="156"/>
      <c r="C916" s="157"/>
      <c r="D916" s="146"/>
      <c r="E916" s="145"/>
      <c r="F916" s="67"/>
      <c r="G916" s="67"/>
    </row>
    <row r="917">
      <c r="A917" s="67"/>
      <c r="B917" s="156"/>
      <c r="C917" s="157"/>
      <c r="D917" s="146"/>
      <c r="E917" s="145"/>
      <c r="F917" s="67"/>
      <c r="G917" s="67"/>
    </row>
    <row r="918">
      <c r="A918" s="67"/>
      <c r="B918" s="156"/>
      <c r="C918" s="157"/>
      <c r="D918" s="146"/>
      <c r="E918" s="145"/>
      <c r="F918" s="67"/>
      <c r="G918" s="67"/>
    </row>
    <row r="919">
      <c r="A919" s="67"/>
      <c r="B919" s="156"/>
      <c r="C919" s="157"/>
      <c r="D919" s="146"/>
      <c r="E919" s="145"/>
      <c r="F919" s="67"/>
      <c r="G919" s="67"/>
    </row>
    <row r="920">
      <c r="A920" s="67"/>
      <c r="B920" s="156"/>
      <c r="C920" s="157"/>
      <c r="D920" s="146"/>
      <c r="E920" s="145"/>
      <c r="F920" s="67"/>
      <c r="G920" s="67"/>
    </row>
    <row r="921">
      <c r="A921" s="67"/>
      <c r="B921" s="156"/>
      <c r="C921" s="157"/>
      <c r="D921" s="146"/>
      <c r="E921" s="145"/>
      <c r="F921" s="67"/>
      <c r="G921" s="67"/>
    </row>
    <row r="922">
      <c r="A922" s="67"/>
      <c r="B922" s="156"/>
      <c r="C922" s="157"/>
      <c r="D922" s="146"/>
      <c r="E922" s="145"/>
      <c r="F922" s="67"/>
      <c r="G922" s="67"/>
    </row>
    <row r="923">
      <c r="A923" s="67"/>
      <c r="B923" s="156"/>
      <c r="C923" s="157"/>
      <c r="D923" s="146"/>
      <c r="E923" s="145"/>
      <c r="F923" s="67"/>
      <c r="G923" s="67"/>
    </row>
    <row r="924">
      <c r="A924" s="67"/>
      <c r="B924" s="156"/>
      <c r="C924" s="157"/>
      <c r="D924" s="146"/>
      <c r="E924" s="145"/>
      <c r="F924" s="67"/>
      <c r="G924" s="67"/>
    </row>
    <row r="925">
      <c r="A925" s="67"/>
      <c r="B925" s="156"/>
      <c r="C925" s="157"/>
      <c r="D925" s="146"/>
      <c r="E925" s="145"/>
      <c r="F925" s="67"/>
      <c r="G925" s="67"/>
    </row>
    <row r="926">
      <c r="A926" s="67"/>
      <c r="B926" s="156"/>
      <c r="C926" s="157"/>
      <c r="D926" s="146"/>
      <c r="E926" s="145"/>
      <c r="F926" s="67"/>
      <c r="G926" s="67"/>
    </row>
    <row r="927">
      <c r="A927" s="67"/>
      <c r="B927" s="156"/>
      <c r="C927" s="157"/>
      <c r="D927" s="146"/>
      <c r="E927" s="145"/>
      <c r="F927" s="67"/>
      <c r="G927" s="67"/>
    </row>
    <row r="928">
      <c r="A928" s="67"/>
      <c r="B928" s="156"/>
      <c r="C928" s="157"/>
      <c r="D928" s="146"/>
      <c r="E928" s="145"/>
      <c r="F928" s="67"/>
      <c r="G928" s="67"/>
    </row>
    <row r="929">
      <c r="A929" s="67"/>
      <c r="B929" s="156"/>
      <c r="C929" s="157"/>
      <c r="D929" s="146"/>
      <c r="E929" s="145"/>
      <c r="F929" s="67"/>
      <c r="G929" s="67"/>
    </row>
    <row r="930">
      <c r="A930" s="67"/>
      <c r="B930" s="156"/>
      <c r="C930" s="157"/>
      <c r="D930" s="146"/>
      <c r="E930" s="145"/>
      <c r="F930" s="67"/>
      <c r="G930" s="67"/>
    </row>
    <row r="931">
      <c r="A931" s="67"/>
      <c r="B931" s="156"/>
      <c r="C931" s="157"/>
      <c r="D931" s="146"/>
      <c r="E931" s="145"/>
      <c r="F931" s="67"/>
      <c r="G931" s="67"/>
    </row>
    <row r="932">
      <c r="A932" s="67"/>
      <c r="B932" s="156"/>
      <c r="C932" s="157"/>
      <c r="D932" s="146"/>
      <c r="E932" s="145"/>
      <c r="F932" s="67"/>
      <c r="G932" s="67"/>
    </row>
    <row r="933">
      <c r="A933" s="67"/>
      <c r="B933" s="156"/>
      <c r="C933" s="157"/>
      <c r="D933" s="146"/>
      <c r="E933" s="145"/>
      <c r="F933" s="67"/>
      <c r="G933" s="67"/>
    </row>
    <row r="934">
      <c r="A934" s="67"/>
      <c r="B934" s="156"/>
      <c r="C934" s="157"/>
      <c r="D934" s="146"/>
      <c r="E934" s="145"/>
      <c r="F934" s="67"/>
      <c r="G934" s="67"/>
    </row>
    <row r="935">
      <c r="A935" s="67"/>
      <c r="B935" s="156"/>
      <c r="C935" s="157"/>
      <c r="D935" s="146"/>
      <c r="E935" s="145"/>
      <c r="F935" s="67"/>
      <c r="G935" s="67"/>
    </row>
    <row r="936">
      <c r="A936" s="67"/>
      <c r="B936" s="156"/>
      <c r="C936" s="157"/>
      <c r="D936" s="146"/>
      <c r="E936" s="145"/>
      <c r="F936" s="67"/>
      <c r="G936" s="67"/>
    </row>
    <row r="937">
      <c r="A937" s="67"/>
      <c r="B937" s="156"/>
      <c r="C937" s="157"/>
      <c r="D937" s="146"/>
      <c r="E937" s="145"/>
      <c r="F937" s="67"/>
      <c r="G937" s="67"/>
    </row>
    <row r="938">
      <c r="A938" s="67"/>
      <c r="B938" s="156"/>
      <c r="C938" s="157"/>
      <c r="D938" s="146"/>
      <c r="E938" s="145"/>
      <c r="F938" s="67"/>
      <c r="G938" s="67"/>
    </row>
    <row r="939">
      <c r="A939" s="67"/>
      <c r="B939" s="156"/>
      <c r="C939" s="157"/>
      <c r="D939" s="146"/>
      <c r="E939" s="145"/>
      <c r="F939" s="67"/>
      <c r="G939" s="67"/>
    </row>
    <row r="940">
      <c r="A940" s="67"/>
      <c r="B940" s="156"/>
      <c r="C940" s="157"/>
      <c r="D940" s="146"/>
      <c r="E940" s="145"/>
      <c r="F940" s="67"/>
      <c r="G940" s="67"/>
    </row>
    <row r="941">
      <c r="A941" s="67"/>
      <c r="B941" s="156"/>
      <c r="C941" s="157"/>
      <c r="D941" s="146"/>
      <c r="E941" s="145"/>
      <c r="F941" s="67"/>
      <c r="G941" s="67"/>
    </row>
    <row r="942">
      <c r="A942" s="67"/>
      <c r="B942" s="156"/>
      <c r="C942" s="157"/>
      <c r="D942" s="146"/>
      <c r="E942" s="145"/>
      <c r="F942" s="67"/>
      <c r="G942" s="67"/>
    </row>
    <row r="943">
      <c r="A943" s="67"/>
      <c r="B943" s="156"/>
      <c r="C943" s="157"/>
      <c r="D943" s="146"/>
      <c r="E943" s="145"/>
      <c r="F943" s="67"/>
      <c r="G943" s="67"/>
    </row>
    <row r="944">
      <c r="A944" s="67"/>
      <c r="B944" s="156"/>
      <c r="C944" s="157"/>
      <c r="D944" s="146"/>
      <c r="E944" s="145"/>
      <c r="F944" s="67"/>
      <c r="G944" s="67"/>
    </row>
    <row r="945">
      <c r="A945" s="67"/>
      <c r="B945" s="156"/>
      <c r="C945" s="157"/>
      <c r="D945" s="146"/>
      <c r="E945" s="145"/>
      <c r="F945" s="67"/>
      <c r="G945" s="67"/>
    </row>
    <row r="946">
      <c r="A946" s="67"/>
      <c r="B946" s="156"/>
      <c r="C946" s="157"/>
      <c r="D946" s="146"/>
      <c r="E946" s="145"/>
      <c r="F946" s="67"/>
      <c r="G946" s="67"/>
    </row>
    <row r="947">
      <c r="A947" s="67"/>
      <c r="B947" s="156"/>
      <c r="C947" s="157"/>
      <c r="D947" s="146"/>
      <c r="E947" s="145"/>
      <c r="F947" s="67"/>
      <c r="G947" s="67"/>
    </row>
    <row r="948">
      <c r="A948" s="67"/>
      <c r="B948" s="156"/>
      <c r="C948" s="157"/>
      <c r="D948" s="146"/>
      <c r="E948" s="145"/>
      <c r="F948" s="67"/>
      <c r="G948" s="67"/>
    </row>
    <row r="949">
      <c r="A949" s="67"/>
      <c r="B949" s="156"/>
      <c r="C949" s="157"/>
      <c r="D949" s="146"/>
      <c r="E949" s="145"/>
      <c r="F949" s="67"/>
      <c r="G949" s="67"/>
    </row>
    <row r="950">
      <c r="A950" s="67"/>
      <c r="B950" s="156"/>
      <c r="C950" s="157"/>
      <c r="D950" s="146"/>
      <c r="E950" s="145"/>
      <c r="F950" s="67"/>
      <c r="G950" s="67"/>
    </row>
    <row r="951">
      <c r="A951" s="67"/>
      <c r="B951" s="156"/>
      <c r="C951" s="157"/>
      <c r="D951" s="146"/>
      <c r="E951" s="145"/>
      <c r="F951" s="67"/>
      <c r="G951" s="67"/>
    </row>
    <row r="952">
      <c r="A952" s="67"/>
      <c r="B952" s="156"/>
      <c r="C952" s="157"/>
      <c r="D952" s="146"/>
      <c r="E952" s="145"/>
      <c r="F952" s="67"/>
      <c r="G952" s="67"/>
    </row>
    <row r="953">
      <c r="A953" s="67"/>
      <c r="B953" s="156"/>
      <c r="C953" s="157"/>
      <c r="D953" s="146"/>
      <c r="E953" s="145"/>
      <c r="F953" s="67"/>
      <c r="G953" s="67"/>
    </row>
    <row r="954">
      <c r="A954" s="67"/>
      <c r="B954" s="156"/>
      <c r="C954" s="157"/>
      <c r="D954" s="146"/>
      <c r="E954" s="145"/>
      <c r="F954" s="67"/>
      <c r="G954" s="67"/>
    </row>
    <row r="955">
      <c r="A955" s="67"/>
      <c r="B955" s="156"/>
      <c r="C955" s="157"/>
      <c r="D955" s="146"/>
      <c r="E955" s="145"/>
      <c r="F955" s="67"/>
      <c r="G955" s="67"/>
    </row>
    <row r="956">
      <c r="A956" s="67"/>
      <c r="B956" s="156"/>
      <c r="C956" s="157"/>
      <c r="D956" s="146"/>
      <c r="E956" s="145"/>
      <c r="F956" s="67"/>
      <c r="G956" s="67"/>
    </row>
    <row r="957">
      <c r="A957" s="67"/>
      <c r="B957" s="156"/>
      <c r="C957" s="157"/>
      <c r="D957" s="146"/>
      <c r="E957" s="145"/>
      <c r="F957" s="67"/>
      <c r="G957" s="67"/>
    </row>
    <row r="958">
      <c r="A958" s="67"/>
      <c r="B958" s="156"/>
      <c r="C958" s="157"/>
      <c r="D958" s="146"/>
      <c r="E958" s="145"/>
      <c r="F958" s="67"/>
      <c r="G958" s="67"/>
    </row>
    <row r="959">
      <c r="A959" s="67"/>
      <c r="B959" s="156"/>
      <c r="C959" s="157"/>
      <c r="D959" s="146"/>
      <c r="E959" s="145"/>
      <c r="F959" s="67"/>
      <c r="G959" s="67"/>
    </row>
    <row r="960">
      <c r="A960" s="67"/>
      <c r="B960" s="156"/>
      <c r="C960" s="157"/>
      <c r="D960" s="146"/>
      <c r="E960" s="145"/>
      <c r="F960" s="67"/>
      <c r="G960" s="67"/>
    </row>
    <row r="961">
      <c r="A961" s="67"/>
      <c r="B961" s="156"/>
      <c r="C961" s="157"/>
      <c r="D961" s="146"/>
      <c r="E961" s="145"/>
      <c r="F961" s="67"/>
      <c r="G961" s="67"/>
    </row>
    <row r="962">
      <c r="A962" s="67"/>
      <c r="B962" s="156"/>
      <c r="C962" s="157"/>
      <c r="D962" s="146"/>
      <c r="E962" s="145"/>
      <c r="F962" s="67"/>
      <c r="G962" s="67"/>
    </row>
    <row r="963">
      <c r="A963" s="67"/>
      <c r="B963" s="156"/>
      <c r="C963" s="157"/>
      <c r="D963" s="146"/>
      <c r="E963" s="145"/>
      <c r="F963" s="67"/>
      <c r="G963" s="67"/>
    </row>
    <row r="964">
      <c r="A964" s="67"/>
      <c r="B964" s="156"/>
      <c r="C964" s="157"/>
      <c r="D964" s="146"/>
      <c r="E964" s="145"/>
      <c r="F964" s="67"/>
      <c r="G964" s="67"/>
    </row>
    <row r="965">
      <c r="A965" s="67"/>
      <c r="B965" s="156"/>
      <c r="C965" s="157"/>
      <c r="D965" s="146"/>
      <c r="E965" s="145"/>
      <c r="F965" s="67"/>
      <c r="G965" s="67"/>
    </row>
    <row r="966">
      <c r="A966" s="67"/>
      <c r="B966" s="156"/>
      <c r="C966" s="157"/>
      <c r="D966" s="146"/>
      <c r="E966" s="145"/>
      <c r="F966" s="67"/>
      <c r="G966" s="67"/>
    </row>
    <row r="967">
      <c r="A967" s="67"/>
      <c r="B967" s="156"/>
      <c r="C967" s="157"/>
      <c r="D967" s="146"/>
      <c r="E967" s="145"/>
      <c r="F967" s="67"/>
      <c r="G967" s="67"/>
    </row>
    <row r="968">
      <c r="A968" s="67"/>
      <c r="B968" s="156"/>
      <c r="C968" s="157"/>
      <c r="D968" s="146"/>
      <c r="E968" s="145"/>
      <c r="F968" s="67"/>
      <c r="G968" s="67"/>
    </row>
    <row r="969">
      <c r="A969" s="67"/>
      <c r="B969" s="156"/>
      <c r="C969" s="157"/>
      <c r="D969" s="146"/>
      <c r="E969" s="145"/>
      <c r="F969" s="67"/>
      <c r="G969" s="67"/>
    </row>
    <row r="970">
      <c r="A970" s="67"/>
      <c r="B970" s="156"/>
      <c r="C970" s="157"/>
      <c r="D970" s="146"/>
      <c r="E970" s="145"/>
      <c r="F970" s="67"/>
      <c r="G970" s="67"/>
    </row>
    <row r="971">
      <c r="A971" s="67"/>
      <c r="B971" s="156"/>
      <c r="C971" s="157"/>
      <c r="D971" s="146"/>
      <c r="E971" s="145"/>
      <c r="F971" s="67"/>
      <c r="G971" s="67"/>
    </row>
    <row r="972">
      <c r="A972" s="67"/>
      <c r="B972" s="156"/>
      <c r="C972" s="157"/>
      <c r="D972" s="146"/>
      <c r="E972" s="145"/>
      <c r="F972" s="67"/>
      <c r="G972" s="67"/>
    </row>
    <row r="973">
      <c r="A973" s="67"/>
      <c r="B973" s="156"/>
      <c r="C973" s="157"/>
      <c r="D973" s="146"/>
      <c r="E973" s="145"/>
      <c r="F973" s="67"/>
      <c r="G973" s="67"/>
    </row>
    <row r="974">
      <c r="A974" s="67"/>
      <c r="B974" s="156"/>
      <c r="C974" s="157"/>
      <c r="D974" s="146"/>
      <c r="E974" s="145"/>
      <c r="F974" s="67"/>
      <c r="G974" s="67"/>
    </row>
    <row r="975">
      <c r="A975" s="67"/>
      <c r="B975" s="156"/>
      <c r="C975" s="157"/>
      <c r="D975" s="146"/>
      <c r="E975" s="145"/>
      <c r="F975" s="67"/>
      <c r="G975" s="67"/>
    </row>
    <row r="976">
      <c r="A976" s="67"/>
      <c r="B976" s="156"/>
      <c r="C976" s="157"/>
      <c r="D976" s="146"/>
      <c r="E976" s="145"/>
      <c r="F976" s="67"/>
      <c r="G976" s="67"/>
    </row>
    <row r="977">
      <c r="A977" s="67"/>
      <c r="B977" s="156"/>
      <c r="C977" s="157"/>
      <c r="D977" s="146"/>
      <c r="E977" s="145"/>
      <c r="F977" s="67"/>
      <c r="G977" s="67"/>
    </row>
    <row r="978">
      <c r="A978" s="67"/>
      <c r="B978" s="156"/>
      <c r="C978" s="157"/>
      <c r="D978" s="146"/>
      <c r="E978" s="145"/>
      <c r="F978" s="67"/>
      <c r="G978" s="67"/>
    </row>
    <row r="979">
      <c r="A979" s="67"/>
      <c r="B979" s="156"/>
      <c r="C979" s="157"/>
      <c r="D979" s="146"/>
      <c r="E979" s="145"/>
      <c r="F979" s="67"/>
      <c r="G979" s="67"/>
    </row>
    <row r="980">
      <c r="A980" s="67"/>
      <c r="B980" s="156"/>
      <c r="C980" s="157"/>
      <c r="D980" s="146"/>
      <c r="E980" s="145"/>
      <c r="F980" s="67"/>
      <c r="G980" s="67"/>
    </row>
    <row r="981">
      <c r="A981" s="67"/>
      <c r="B981" s="156"/>
      <c r="C981" s="157"/>
      <c r="D981" s="146"/>
      <c r="E981" s="145"/>
      <c r="F981" s="67"/>
      <c r="G981" s="67"/>
    </row>
    <row r="982">
      <c r="A982" s="67"/>
      <c r="B982" s="156"/>
      <c r="C982" s="157"/>
      <c r="D982" s="146"/>
      <c r="E982" s="145"/>
      <c r="F982" s="67"/>
      <c r="G982" s="67"/>
    </row>
    <row r="983">
      <c r="A983" s="67"/>
      <c r="B983" s="156"/>
      <c r="C983" s="157"/>
      <c r="D983" s="146"/>
      <c r="E983" s="145"/>
      <c r="F983" s="67"/>
      <c r="G983" s="67"/>
    </row>
    <row r="984">
      <c r="A984" s="67"/>
      <c r="B984" s="156"/>
      <c r="C984" s="157"/>
      <c r="D984" s="146"/>
      <c r="E984" s="145"/>
      <c r="F984" s="67"/>
      <c r="G984" s="67"/>
    </row>
    <row r="985">
      <c r="A985" s="67"/>
      <c r="B985" s="156"/>
      <c r="C985" s="157"/>
      <c r="D985" s="146"/>
      <c r="E985" s="145"/>
      <c r="F985" s="67"/>
      <c r="G985" s="67"/>
    </row>
    <row r="986">
      <c r="A986" s="67"/>
      <c r="B986" s="156"/>
      <c r="C986" s="157"/>
      <c r="D986" s="146"/>
      <c r="E986" s="145"/>
      <c r="F986" s="67"/>
      <c r="G986" s="67"/>
    </row>
    <row r="987">
      <c r="A987" s="67"/>
      <c r="B987" s="156"/>
      <c r="C987" s="157"/>
      <c r="D987" s="146"/>
      <c r="E987" s="145"/>
      <c r="F987" s="67"/>
      <c r="G987" s="67"/>
    </row>
    <row r="988">
      <c r="A988" s="67"/>
      <c r="B988" s="156"/>
      <c r="C988" s="157"/>
      <c r="D988" s="146"/>
      <c r="E988" s="145"/>
      <c r="F988" s="67"/>
      <c r="G988" s="67"/>
    </row>
    <row r="989">
      <c r="A989" s="67"/>
      <c r="B989" s="156"/>
      <c r="C989" s="157"/>
      <c r="D989" s="146"/>
      <c r="E989" s="145"/>
      <c r="F989" s="67"/>
      <c r="G989" s="67"/>
    </row>
    <row r="990">
      <c r="A990" s="67"/>
      <c r="B990" s="156"/>
      <c r="C990" s="157"/>
      <c r="D990" s="146"/>
      <c r="E990" s="145"/>
      <c r="F990" s="67"/>
      <c r="G990" s="67"/>
    </row>
    <row r="991">
      <c r="A991" s="67"/>
      <c r="B991" s="156"/>
      <c r="C991" s="157"/>
      <c r="D991" s="146"/>
      <c r="E991" s="145"/>
      <c r="F991" s="67"/>
      <c r="G991" s="67"/>
    </row>
    <row r="992">
      <c r="A992" s="67"/>
      <c r="B992" s="156"/>
      <c r="C992" s="157"/>
      <c r="D992" s="146"/>
      <c r="E992" s="145"/>
      <c r="F992" s="67"/>
      <c r="G992" s="67"/>
    </row>
    <row r="993">
      <c r="A993" s="67"/>
      <c r="B993" s="156"/>
      <c r="C993" s="157"/>
      <c r="D993" s="146"/>
      <c r="E993" s="145"/>
      <c r="F993" s="67"/>
      <c r="G993" s="67"/>
    </row>
    <row r="994">
      <c r="A994" s="67"/>
      <c r="B994" s="156"/>
      <c r="C994" s="157"/>
      <c r="D994" s="146"/>
      <c r="E994" s="145"/>
      <c r="F994" s="67"/>
      <c r="G994" s="67"/>
    </row>
    <row r="995">
      <c r="A995" s="67"/>
      <c r="B995" s="156"/>
      <c r="C995" s="157"/>
      <c r="D995" s="146"/>
      <c r="E995" s="145"/>
      <c r="F995" s="67"/>
      <c r="G995" s="67"/>
    </row>
    <row r="996">
      <c r="A996" s="67"/>
      <c r="B996" s="156"/>
      <c r="C996" s="157"/>
      <c r="D996" s="146"/>
      <c r="E996" s="145"/>
      <c r="F996" s="67"/>
      <c r="G996" s="67"/>
    </row>
    <row r="997">
      <c r="A997" s="67"/>
      <c r="B997" s="156"/>
      <c r="C997" s="157"/>
      <c r="D997" s="146"/>
      <c r="E997" s="145"/>
      <c r="F997" s="67"/>
      <c r="G997" s="67"/>
    </row>
    <row r="998">
      <c r="A998" s="67"/>
      <c r="B998" s="156"/>
      <c r="C998" s="157"/>
      <c r="D998" s="146"/>
      <c r="E998" s="145"/>
      <c r="F998" s="67"/>
      <c r="G998" s="67"/>
    </row>
    <row r="999">
      <c r="A999" s="67"/>
      <c r="B999" s="156"/>
      <c r="C999" s="157"/>
      <c r="D999" s="146"/>
      <c r="E999" s="145"/>
      <c r="F999" s="67"/>
      <c r="G999" s="67"/>
    </row>
    <row r="1000">
      <c r="A1000" s="67"/>
      <c r="B1000" s="156"/>
      <c r="C1000" s="157"/>
      <c r="D1000" s="146"/>
      <c r="E1000" s="145"/>
      <c r="F1000" s="67"/>
      <c r="G1000" s="67"/>
    </row>
    <row r="1001">
      <c r="A1001" s="67"/>
      <c r="B1001" s="156"/>
      <c r="C1001" s="157"/>
      <c r="D1001" s="146"/>
      <c r="E1001" s="145"/>
      <c r="F1001" s="67"/>
      <c r="G1001" s="67"/>
    </row>
    <row r="1002">
      <c r="A1002" s="67"/>
      <c r="B1002" s="156"/>
      <c r="C1002" s="157"/>
      <c r="D1002" s="146"/>
      <c r="E1002" s="145"/>
      <c r="F1002" s="67"/>
      <c r="G1002" s="67"/>
    </row>
    <row r="1003">
      <c r="A1003" s="67"/>
      <c r="B1003" s="156"/>
      <c r="C1003" s="157"/>
      <c r="D1003" s="146"/>
      <c r="E1003" s="145"/>
      <c r="F1003" s="67"/>
      <c r="G1003" s="67"/>
    </row>
    <row r="1004">
      <c r="A1004" s="67"/>
      <c r="B1004" s="156"/>
      <c r="C1004" s="157"/>
      <c r="D1004" s="146"/>
      <c r="E1004" s="145"/>
      <c r="F1004" s="67"/>
      <c r="G1004" s="67"/>
    </row>
    <row r="1005">
      <c r="A1005" s="67"/>
      <c r="B1005" s="156"/>
      <c r="C1005" s="157"/>
      <c r="D1005" s="146"/>
      <c r="E1005" s="145"/>
      <c r="F1005" s="67"/>
      <c r="G1005" s="67"/>
    </row>
    <row r="1006">
      <c r="A1006" s="67"/>
      <c r="B1006" s="156"/>
      <c r="C1006" s="157"/>
      <c r="D1006" s="146"/>
      <c r="E1006" s="145"/>
      <c r="F1006" s="67"/>
      <c r="G1006" s="67"/>
    </row>
    <row r="1007">
      <c r="A1007" s="67"/>
      <c r="B1007" s="156"/>
      <c r="C1007" s="157"/>
      <c r="D1007" s="146"/>
      <c r="E1007" s="145"/>
      <c r="F1007" s="67"/>
      <c r="G1007" s="67"/>
    </row>
    <row r="1008">
      <c r="A1008" s="67"/>
      <c r="B1008" s="156"/>
      <c r="C1008" s="157"/>
      <c r="D1008" s="146"/>
      <c r="E1008" s="145"/>
      <c r="F1008" s="67"/>
      <c r="G1008" s="67"/>
    </row>
    <row r="1009">
      <c r="A1009" s="67"/>
      <c r="B1009" s="156"/>
      <c r="C1009" s="157"/>
      <c r="D1009" s="146"/>
      <c r="E1009" s="145"/>
      <c r="F1009" s="67"/>
      <c r="G1009" s="67"/>
    </row>
    <row r="1010">
      <c r="A1010" s="67"/>
      <c r="B1010" s="156"/>
      <c r="C1010" s="157"/>
      <c r="D1010" s="146"/>
      <c r="E1010" s="145"/>
      <c r="F1010" s="67"/>
      <c r="G1010" s="67"/>
    </row>
    <row r="1011">
      <c r="A1011" s="67"/>
      <c r="B1011" s="156"/>
      <c r="C1011" s="157"/>
      <c r="D1011" s="146"/>
      <c r="E1011" s="145"/>
      <c r="F1011" s="67"/>
      <c r="G1011" s="67"/>
    </row>
    <row r="1012">
      <c r="A1012" s="67"/>
      <c r="B1012" s="156"/>
      <c r="C1012" s="157"/>
      <c r="D1012" s="146"/>
      <c r="E1012" s="145"/>
      <c r="F1012" s="67"/>
      <c r="G1012" s="67"/>
    </row>
    <row r="1013">
      <c r="A1013" s="67"/>
      <c r="B1013" s="156"/>
      <c r="C1013" s="157"/>
      <c r="D1013" s="146"/>
      <c r="E1013" s="145"/>
      <c r="F1013" s="67"/>
      <c r="G1013" s="67"/>
    </row>
    <row r="1014">
      <c r="A1014" s="67"/>
      <c r="B1014" s="156"/>
      <c r="C1014" s="157"/>
      <c r="D1014" s="146"/>
      <c r="E1014" s="145"/>
      <c r="F1014" s="67"/>
      <c r="G1014" s="67"/>
    </row>
    <row r="1015">
      <c r="A1015" s="67"/>
      <c r="B1015" s="156"/>
      <c r="C1015" s="157"/>
      <c r="D1015" s="146"/>
      <c r="E1015" s="145"/>
      <c r="F1015" s="67"/>
      <c r="G1015" s="67"/>
    </row>
    <row r="1016">
      <c r="A1016" s="67"/>
      <c r="B1016" s="156"/>
      <c r="C1016" s="157"/>
      <c r="D1016" s="146"/>
      <c r="E1016" s="145"/>
      <c r="F1016" s="67"/>
      <c r="G1016" s="67"/>
    </row>
    <row r="1017">
      <c r="A1017" s="67"/>
      <c r="B1017" s="156"/>
      <c r="C1017" s="157"/>
      <c r="D1017" s="146"/>
      <c r="E1017" s="145"/>
      <c r="F1017" s="67"/>
      <c r="G1017" s="67"/>
    </row>
    <row r="1018">
      <c r="A1018" s="67"/>
      <c r="B1018" s="156"/>
      <c r="C1018" s="157"/>
      <c r="D1018" s="146"/>
      <c r="E1018" s="145"/>
      <c r="F1018" s="67"/>
      <c r="G1018" s="67"/>
    </row>
    <row r="1019">
      <c r="A1019" s="67"/>
      <c r="B1019" s="156"/>
      <c r="C1019" s="157"/>
      <c r="D1019" s="146"/>
      <c r="E1019" s="145"/>
      <c r="F1019" s="67"/>
      <c r="G1019" s="67"/>
    </row>
    <row r="1020">
      <c r="A1020" s="67"/>
      <c r="B1020" s="156"/>
      <c r="C1020" s="157"/>
      <c r="D1020" s="146"/>
      <c r="E1020" s="145"/>
      <c r="F1020" s="67"/>
      <c r="G1020" s="67"/>
    </row>
    <row r="1021">
      <c r="A1021" s="67"/>
      <c r="B1021" s="156"/>
      <c r="C1021" s="157"/>
      <c r="D1021" s="146"/>
      <c r="E1021" s="145"/>
      <c r="F1021" s="67"/>
      <c r="G1021" s="67"/>
    </row>
    <row r="1022">
      <c r="A1022" s="67"/>
      <c r="B1022" s="156"/>
      <c r="C1022" s="157"/>
      <c r="D1022" s="146"/>
      <c r="E1022" s="145"/>
      <c r="F1022" s="67"/>
      <c r="G1022" s="67"/>
    </row>
    <row r="1023">
      <c r="A1023" s="67"/>
      <c r="B1023" s="156"/>
      <c r="C1023" s="157"/>
      <c r="D1023" s="146"/>
      <c r="E1023" s="145"/>
      <c r="F1023" s="67"/>
      <c r="G1023" s="67"/>
    </row>
    <row r="1024">
      <c r="A1024" s="67"/>
      <c r="B1024" s="156"/>
      <c r="C1024" s="157"/>
      <c r="D1024" s="146"/>
      <c r="E1024" s="145"/>
      <c r="F1024" s="67"/>
      <c r="G1024" s="67"/>
    </row>
    <row r="1025">
      <c r="A1025" s="67"/>
      <c r="B1025" s="156"/>
      <c r="C1025" s="157"/>
      <c r="D1025" s="146"/>
      <c r="E1025" s="145"/>
      <c r="F1025" s="67"/>
      <c r="G1025" s="67"/>
    </row>
    <row r="1026">
      <c r="A1026" s="67"/>
      <c r="B1026" s="156"/>
      <c r="C1026" s="157"/>
      <c r="D1026" s="146"/>
      <c r="E1026" s="145"/>
      <c r="F1026" s="67"/>
      <c r="G1026" s="67"/>
    </row>
    <row r="1027">
      <c r="A1027" s="67"/>
      <c r="B1027" s="156"/>
      <c r="C1027" s="157"/>
      <c r="D1027" s="146"/>
      <c r="E1027" s="145"/>
      <c r="F1027" s="67"/>
      <c r="G1027" s="67"/>
    </row>
    <row r="1028">
      <c r="A1028" s="67"/>
      <c r="B1028" s="156"/>
      <c r="C1028" s="157"/>
      <c r="D1028" s="146"/>
      <c r="E1028" s="145"/>
      <c r="F1028" s="67"/>
      <c r="G1028" s="67"/>
    </row>
    <row r="1029">
      <c r="A1029" s="67"/>
      <c r="B1029" s="156"/>
      <c r="C1029" s="157"/>
      <c r="D1029" s="146"/>
      <c r="E1029" s="145"/>
      <c r="F1029" s="67"/>
      <c r="G1029" s="67"/>
    </row>
    <row r="1030">
      <c r="A1030" s="67"/>
      <c r="B1030" s="156"/>
      <c r="C1030" s="157"/>
      <c r="D1030" s="146"/>
      <c r="E1030" s="145"/>
      <c r="F1030" s="67"/>
      <c r="G1030" s="67"/>
    </row>
    <row r="1031">
      <c r="A1031" s="67"/>
      <c r="B1031" s="156"/>
      <c r="C1031" s="157"/>
      <c r="D1031" s="146"/>
      <c r="E1031" s="145"/>
      <c r="F1031" s="67"/>
      <c r="G1031" s="67"/>
    </row>
    <row r="1032">
      <c r="A1032" s="67"/>
      <c r="B1032" s="156"/>
      <c r="C1032" s="157"/>
      <c r="D1032" s="146"/>
      <c r="E1032" s="145"/>
      <c r="F1032" s="67"/>
      <c r="G1032" s="67"/>
    </row>
    <row r="1033">
      <c r="A1033" s="67"/>
      <c r="B1033" s="156"/>
      <c r="C1033" s="157"/>
      <c r="D1033" s="146"/>
      <c r="E1033" s="145"/>
      <c r="F1033" s="67"/>
      <c r="G1033" s="67"/>
    </row>
    <row r="1034">
      <c r="A1034" s="67"/>
      <c r="B1034" s="156"/>
      <c r="C1034" s="157"/>
      <c r="D1034" s="146"/>
      <c r="E1034" s="145"/>
      <c r="F1034" s="67"/>
      <c r="G1034" s="67"/>
    </row>
    <row r="1035">
      <c r="A1035" s="67"/>
      <c r="B1035" s="156"/>
      <c r="C1035" s="157"/>
      <c r="D1035" s="146"/>
      <c r="E1035" s="145"/>
      <c r="F1035" s="67"/>
      <c r="G1035" s="67"/>
    </row>
    <row r="1036">
      <c r="A1036" s="67"/>
      <c r="B1036" s="156"/>
      <c r="C1036" s="157"/>
      <c r="D1036" s="146"/>
      <c r="E1036" s="145"/>
      <c r="F1036" s="67"/>
      <c r="G1036" s="67"/>
    </row>
    <row r="1037">
      <c r="A1037" s="67"/>
      <c r="B1037" s="156"/>
      <c r="C1037" s="157"/>
      <c r="D1037" s="146"/>
      <c r="E1037" s="145"/>
      <c r="F1037" s="67"/>
      <c r="G1037" s="67"/>
    </row>
    <row r="1038">
      <c r="A1038" s="67"/>
      <c r="B1038" s="156"/>
      <c r="C1038" s="157"/>
      <c r="D1038" s="146"/>
      <c r="E1038" s="145"/>
      <c r="F1038" s="67"/>
      <c r="G1038" s="67"/>
    </row>
    <row r="1039">
      <c r="A1039" s="67"/>
      <c r="B1039" s="156"/>
      <c r="C1039" s="157"/>
      <c r="D1039" s="146"/>
      <c r="E1039" s="145"/>
      <c r="F1039" s="67"/>
      <c r="G1039" s="67"/>
    </row>
    <row r="1040">
      <c r="A1040" s="67"/>
      <c r="B1040" s="156"/>
      <c r="C1040" s="157"/>
      <c r="D1040" s="146"/>
      <c r="E1040" s="145"/>
      <c r="F1040" s="67"/>
      <c r="G1040" s="67"/>
    </row>
    <row r="1041">
      <c r="A1041" s="67"/>
      <c r="B1041" s="156"/>
      <c r="C1041" s="157"/>
      <c r="D1041" s="146"/>
      <c r="E1041" s="145"/>
      <c r="F1041" s="67"/>
      <c r="G1041" s="67"/>
    </row>
    <row r="1042">
      <c r="A1042" s="67"/>
      <c r="B1042" s="156"/>
      <c r="C1042" s="157"/>
      <c r="D1042" s="146"/>
      <c r="E1042" s="145"/>
      <c r="F1042" s="67"/>
      <c r="G1042" s="67"/>
    </row>
    <row r="1043">
      <c r="A1043" s="67"/>
      <c r="B1043" s="156"/>
      <c r="C1043" s="157"/>
      <c r="D1043" s="146"/>
      <c r="E1043" s="145"/>
      <c r="F1043" s="67"/>
      <c r="G1043" s="67"/>
    </row>
    <row r="1044">
      <c r="A1044" s="67"/>
      <c r="B1044" s="156"/>
      <c r="C1044" s="157"/>
      <c r="D1044" s="146"/>
      <c r="E1044" s="145"/>
      <c r="F1044" s="67"/>
      <c r="G1044" s="67"/>
    </row>
    <row r="1045">
      <c r="A1045" s="67"/>
      <c r="B1045" s="156"/>
      <c r="C1045" s="157"/>
      <c r="D1045" s="146"/>
      <c r="E1045" s="145"/>
      <c r="F1045" s="67"/>
      <c r="G1045" s="67"/>
    </row>
    <row r="1046">
      <c r="A1046" s="67"/>
      <c r="B1046" s="156"/>
      <c r="C1046" s="157"/>
      <c r="D1046" s="146"/>
      <c r="E1046" s="145"/>
      <c r="F1046" s="67"/>
      <c r="G1046" s="67"/>
    </row>
    <row r="1047">
      <c r="A1047" s="67"/>
      <c r="B1047" s="156"/>
      <c r="C1047" s="157"/>
      <c r="D1047" s="146"/>
      <c r="E1047" s="145"/>
      <c r="F1047" s="67"/>
      <c r="G1047" s="67"/>
    </row>
    <row r="1048">
      <c r="A1048" s="67"/>
      <c r="B1048" s="156"/>
      <c r="C1048" s="157"/>
      <c r="D1048" s="146"/>
      <c r="E1048" s="145"/>
      <c r="F1048" s="67"/>
      <c r="G1048" s="67"/>
    </row>
    <row r="1049">
      <c r="A1049" s="67"/>
      <c r="B1049" s="156"/>
      <c r="C1049" s="157"/>
      <c r="D1049" s="146"/>
      <c r="E1049" s="145"/>
      <c r="F1049" s="67"/>
      <c r="G1049" s="67"/>
    </row>
    <row r="1050">
      <c r="A1050" s="67"/>
      <c r="B1050" s="156"/>
      <c r="C1050" s="157"/>
      <c r="D1050" s="146"/>
      <c r="E1050" s="145"/>
      <c r="F1050" s="67"/>
      <c r="G1050" s="67"/>
    </row>
    <row r="1051">
      <c r="A1051" s="67"/>
      <c r="B1051" s="156"/>
      <c r="C1051" s="157"/>
      <c r="D1051" s="146"/>
      <c r="E1051" s="145"/>
      <c r="F1051" s="67"/>
      <c r="G1051" s="67"/>
    </row>
    <row r="1052">
      <c r="A1052" s="67"/>
      <c r="B1052" s="156"/>
      <c r="C1052" s="157"/>
      <c r="D1052" s="146"/>
      <c r="E1052" s="145"/>
      <c r="F1052" s="67"/>
      <c r="G1052" s="67"/>
    </row>
    <row r="1053">
      <c r="A1053" s="67"/>
      <c r="B1053" s="156"/>
      <c r="C1053" s="157"/>
      <c r="D1053" s="146"/>
      <c r="E1053" s="145"/>
      <c r="F1053" s="67"/>
      <c r="G1053" s="67"/>
    </row>
    <row r="1054">
      <c r="A1054" s="67"/>
      <c r="B1054" s="156"/>
      <c r="C1054" s="157"/>
      <c r="D1054" s="146"/>
      <c r="E1054" s="145"/>
      <c r="F1054" s="67"/>
      <c r="G1054" s="67"/>
    </row>
    <row r="1055">
      <c r="A1055" s="67"/>
      <c r="B1055" s="156"/>
      <c r="C1055" s="157"/>
      <c r="D1055" s="146"/>
      <c r="E1055" s="145"/>
      <c r="F1055" s="67"/>
      <c r="G1055" s="67"/>
    </row>
    <row r="1056">
      <c r="A1056" s="67"/>
      <c r="B1056" s="156"/>
      <c r="C1056" s="157"/>
      <c r="D1056" s="146"/>
      <c r="E1056" s="145"/>
      <c r="F1056" s="67"/>
      <c r="G1056" s="67"/>
    </row>
    <row r="1057">
      <c r="A1057" s="67"/>
      <c r="B1057" s="156"/>
      <c r="C1057" s="157"/>
      <c r="D1057" s="146"/>
      <c r="E1057" s="145"/>
      <c r="F1057" s="67"/>
      <c r="G1057" s="67"/>
    </row>
    <row r="1058">
      <c r="A1058" s="67"/>
      <c r="B1058" s="156"/>
      <c r="C1058" s="157"/>
      <c r="D1058" s="146"/>
      <c r="E1058" s="145"/>
      <c r="F1058" s="67"/>
      <c r="G1058" s="67"/>
    </row>
    <row r="1059">
      <c r="A1059" s="67"/>
      <c r="B1059" s="156"/>
      <c r="C1059" s="157"/>
      <c r="D1059" s="146"/>
      <c r="E1059" s="145"/>
      <c r="F1059" s="67"/>
      <c r="G1059" s="67"/>
    </row>
    <row r="1060">
      <c r="A1060" s="67"/>
      <c r="B1060" s="156"/>
      <c r="C1060" s="157"/>
      <c r="D1060" s="146"/>
      <c r="E1060" s="145"/>
      <c r="F1060" s="67"/>
      <c r="G1060" s="67"/>
    </row>
    <row r="1061">
      <c r="A1061" s="67"/>
      <c r="B1061" s="156"/>
      <c r="C1061" s="157"/>
      <c r="D1061" s="146"/>
      <c r="E1061" s="145"/>
      <c r="F1061" s="67"/>
      <c r="G1061" s="67"/>
    </row>
    <row r="1062">
      <c r="A1062" s="67"/>
      <c r="B1062" s="156"/>
      <c r="C1062" s="157"/>
      <c r="D1062" s="146"/>
      <c r="E1062" s="145"/>
      <c r="F1062" s="67"/>
      <c r="G1062" s="67"/>
    </row>
    <row r="1063">
      <c r="A1063" s="67"/>
      <c r="B1063" s="156"/>
      <c r="C1063" s="157"/>
      <c r="D1063" s="146"/>
      <c r="E1063" s="145"/>
      <c r="F1063" s="67"/>
      <c r="G1063" s="67"/>
    </row>
    <row r="1064">
      <c r="A1064" s="67"/>
      <c r="B1064" s="156"/>
      <c r="C1064" s="157"/>
      <c r="D1064" s="146"/>
      <c r="E1064" s="145"/>
      <c r="F1064" s="67"/>
      <c r="G1064" s="67"/>
    </row>
    <row r="1065">
      <c r="A1065" s="67"/>
      <c r="B1065" s="156"/>
      <c r="C1065" s="157"/>
      <c r="D1065" s="146"/>
      <c r="E1065" s="145"/>
      <c r="F1065" s="67"/>
      <c r="G1065" s="67"/>
    </row>
    <row r="1066">
      <c r="A1066" s="67"/>
      <c r="B1066" s="156"/>
      <c r="C1066" s="157"/>
      <c r="D1066" s="146"/>
      <c r="E1066" s="145"/>
      <c r="F1066" s="67"/>
      <c r="G1066" s="67"/>
    </row>
    <row r="1067">
      <c r="A1067" s="67"/>
      <c r="B1067" s="156"/>
      <c r="C1067" s="157"/>
      <c r="D1067" s="146"/>
      <c r="E1067" s="145"/>
      <c r="F1067" s="67"/>
      <c r="G1067" s="67"/>
    </row>
    <row r="1068">
      <c r="A1068" s="67"/>
      <c r="B1068" s="156"/>
      <c r="C1068" s="157"/>
      <c r="D1068" s="146"/>
      <c r="E1068" s="145"/>
      <c r="F1068" s="67"/>
      <c r="G1068" s="67"/>
    </row>
    <row r="1069">
      <c r="A1069" s="67"/>
      <c r="B1069" s="156"/>
      <c r="C1069" s="157"/>
      <c r="D1069" s="146"/>
      <c r="E1069" s="145"/>
      <c r="F1069" s="67"/>
      <c r="G1069" s="67"/>
    </row>
    <row r="1070">
      <c r="A1070" s="67"/>
      <c r="B1070" s="156"/>
      <c r="C1070" s="157"/>
      <c r="D1070" s="146"/>
      <c r="E1070" s="145"/>
      <c r="F1070" s="67"/>
      <c r="G1070" s="67"/>
    </row>
    <row r="1071">
      <c r="A1071" s="67"/>
      <c r="B1071" s="156"/>
      <c r="C1071" s="157"/>
      <c r="D1071" s="146"/>
      <c r="E1071" s="145"/>
      <c r="F1071" s="67"/>
      <c r="G1071" s="67"/>
    </row>
    <row r="1072">
      <c r="A1072" s="67"/>
      <c r="B1072" s="156"/>
      <c r="C1072" s="157"/>
      <c r="D1072" s="146"/>
      <c r="E1072" s="145"/>
      <c r="F1072" s="67"/>
      <c r="G1072" s="67"/>
    </row>
    <row r="1073">
      <c r="A1073" s="67"/>
      <c r="B1073" s="156"/>
      <c r="C1073" s="157"/>
      <c r="D1073" s="146"/>
      <c r="E1073" s="145"/>
      <c r="F1073" s="67"/>
      <c r="G1073" s="67"/>
    </row>
    <row r="1074">
      <c r="A1074" s="67"/>
      <c r="B1074" s="156"/>
      <c r="C1074" s="157"/>
      <c r="D1074" s="146"/>
      <c r="E1074" s="145"/>
      <c r="F1074" s="67"/>
      <c r="G1074" s="67"/>
    </row>
    <row r="1075">
      <c r="A1075" s="67"/>
      <c r="B1075" s="156"/>
      <c r="C1075" s="157"/>
      <c r="D1075" s="146"/>
      <c r="E1075" s="145"/>
      <c r="F1075" s="67"/>
      <c r="G1075" s="67"/>
    </row>
    <row r="1076">
      <c r="A1076" s="67"/>
      <c r="B1076" s="156"/>
      <c r="C1076" s="157"/>
      <c r="D1076" s="146"/>
      <c r="E1076" s="145"/>
      <c r="F1076" s="67"/>
      <c r="G1076" s="67"/>
    </row>
    <row r="1077">
      <c r="A1077" s="67"/>
      <c r="B1077" s="156"/>
      <c r="C1077" s="157"/>
      <c r="D1077" s="146"/>
      <c r="E1077" s="145"/>
      <c r="F1077" s="67"/>
      <c r="G1077" s="67"/>
    </row>
    <row r="1078">
      <c r="A1078" s="67"/>
      <c r="B1078" s="156"/>
      <c r="C1078" s="157"/>
      <c r="D1078" s="146"/>
      <c r="E1078" s="145"/>
      <c r="F1078" s="67"/>
      <c r="G1078" s="67"/>
    </row>
    <row r="1079">
      <c r="A1079" s="67"/>
      <c r="B1079" s="156"/>
      <c r="C1079" s="157"/>
      <c r="D1079" s="146"/>
      <c r="E1079" s="145"/>
      <c r="F1079" s="67"/>
      <c r="G1079" s="67"/>
    </row>
    <row r="1080">
      <c r="A1080" s="67"/>
      <c r="B1080" s="156"/>
      <c r="C1080" s="157"/>
      <c r="D1080" s="146"/>
      <c r="E1080" s="145"/>
      <c r="F1080" s="67"/>
      <c r="G1080" s="67"/>
    </row>
    <row r="1081">
      <c r="A1081" s="67"/>
      <c r="B1081" s="156"/>
      <c r="C1081" s="157"/>
      <c r="D1081" s="146"/>
      <c r="E1081" s="145"/>
      <c r="F1081" s="67"/>
      <c r="G1081" s="67"/>
    </row>
    <row r="1082">
      <c r="A1082" s="67"/>
      <c r="B1082" s="156"/>
      <c r="C1082" s="157"/>
      <c r="D1082" s="146"/>
      <c r="E1082" s="145"/>
      <c r="F1082" s="67"/>
      <c r="G1082" s="67"/>
    </row>
    <row r="1083">
      <c r="A1083" s="67"/>
      <c r="B1083" s="156"/>
      <c r="C1083" s="157"/>
      <c r="D1083" s="146"/>
      <c r="E1083" s="145"/>
      <c r="F1083" s="67"/>
      <c r="G1083" s="67"/>
    </row>
    <row r="1084">
      <c r="A1084" s="67"/>
      <c r="B1084" s="156"/>
      <c r="C1084" s="157"/>
      <c r="D1084" s="146"/>
      <c r="E1084" s="145"/>
      <c r="F1084" s="67"/>
      <c r="G1084" s="67"/>
    </row>
    <row r="1085">
      <c r="A1085" s="67"/>
      <c r="B1085" s="156"/>
      <c r="C1085" s="157"/>
      <c r="D1085" s="146"/>
      <c r="E1085" s="145"/>
      <c r="F1085" s="67"/>
      <c r="G1085" s="67"/>
    </row>
    <row r="1086">
      <c r="A1086" s="67"/>
      <c r="B1086" s="156"/>
      <c r="C1086" s="157"/>
      <c r="D1086" s="146"/>
      <c r="E1086" s="145"/>
      <c r="F1086" s="67"/>
      <c r="G1086" s="67"/>
    </row>
    <row r="1087">
      <c r="A1087" s="67"/>
      <c r="B1087" s="156"/>
      <c r="C1087" s="157"/>
      <c r="D1087" s="146"/>
      <c r="E1087" s="145"/>
      <c r="F1087" s="67"/>
      <c r="G1087" s="67"/>
    </row>
    <row r="1088">
      <c r="A1088" s="67"/>
      <c r="B1088" s="156"/>
      <c r="C1088" s="157"/>
      <c r="D1088" s="146"/>
      <c r="E1088" s="145"/>
      <c r="F1088" s="67"/>
      <c r="G1088" s="67"/>
    </row>
    <row r="1089">
      <c r="A1089" s="67"/>
      <c r="B1089" s="156"/>
      <c r="C1089" s="157"/>
      <c r="D1089" s="146"/>
      <c r="E1089" s="145"/>
      <c r="F1089" s="67"/>
      <c r="G1089" s="67"/>
    </row>
    <row r="1090">
      <c r="A1090" s="67"/>
      <c r="B1090" s="156"/>
      <c r="C1090" s="157"/>
      <c r="D1090" s="146"/>
      <c r="E1090" s="145"/>
      <c r="F1090" s="67"/>
      <c r="G1090" s="67"/>
    </row>
    <row r="1091">
      <c r="A1091" s="67"/>
      <c r="B1091" s="156"/>
      <c r="C1091" s="157"/>
      <c r="D1091" s="146"/>
      <c r="E1091" s="145"/>
      <c r="F1091" s="67"/>
      <c r="G1091" s="67"/>
    </row>
    <row r="1092">
      <c r="A1092" s="67"/>
      <c r="B1092" s="156"/>
      <c r="C1092" s="157"/>
      <c r="D1092" s="146"/>
      <c r="E1092" s="145"/>
      <c r="F1092" s="67"/>
      <c r="G1092" s="67"/>
    </row>
    <row r="1093">
      <c r="A1093" s="67"/>
      <c r="B1093" s="156"/>
      <c r="C1093" s="157"/>
      <c r="D1093" s="146"/>
      <c r="E1093" s="145"/>
      <c r="F1093" s="67"/>
      <c r="G1093" s="67"/>
    </row>
    <row r="1094">
      <c r="A1094" s="67"/>
      <c r="B1094" s="156"/>
      <c r="C1094" s="157"/>
      <c r="D1094" s="146"/>
      <c r="E1094" s="145"/>
      <c r="F1094" s="67"/>
      <c r="G1094" s="67"/>
    </row>
    <row r="1095">
      <c r="A1095" s="67"/>
      <c r="B1095" s="156"/>
      <c r="C1095" s="157"/>
      <c r="D1095" s="146"/>
      <c r="E1095" s="145"/>
      <c r="F1095" s="67"/>
      <c r="G1095" s="67"/>
    </row>
    <row r="1096">
      <c r="A1096" s="67"/>
      <c r="B1096" s="156"/>
      <c r="C1096" s="157"/>
      <c r="D1096" s="146"/>
      <c r="E1096" s="145"/>
      <c r="F1096" s="67"/>
      <c r="G1096" s="67"/>
    </row>
    <row r="1097">
      <c r="A1097" s="67"/>
      <c r="B1097" s="156"/>
      <c r="C1097" s="157"/>
      <c r="D1097" s="146"/>
      <c r="E1097" s="145"/>
      <c r="F1097" s="67"/>
      <c r="G1097" s="67"/>
    </row>
    <row r="1098">
      <c r="A1098" s="67"/>
      <c r="B1098" s="156"/>
      <c r="C1098" s="157"/>
      <c r="D1098" s="146"/>
      <c r="E1098" s="145"/>
      <c r="F1098" s="67"/>
      <c r="G1098" s="67"/>
    </row>
    <row r="1099">
      <c r="A1099" s="67"/>
      <c r="B1099" s="156"/>
      <c r="C1099" s="157"/>
      <c r="D1099" s="146"/>
      <c r="E1099" s="145"/>
      <c r="F1099" s="67"/>
      <c r="G1099" s="67"/>
    </row>
    <row r="1100">
      <c r="A1100" s="67"/>
      <c r="B1100" s="156"/>
      <c r="C1100" s="157"/>
      <c r="D1100" s="146"/>
      <c r="E1100" s="145"/>
      <c r="F1100" s="67"/>
      <c r="G1100" s="67"/>
    </row>
    <row r="1101">
      <c r="A1101" s="67"/>
      <c r="B1101" s="156"/>
      <c r="C1101" s="157"/>
      <c r="D1101" s="146"/>
      <c r="E1101" s="145"/>
      <c r="F1101" s="67"/>
      <c r="G1101" s="67"/>
    </row>
    <row r="1102">
      <c r="A1102" s="67"/>
      <c r="B1102" s="156"/>
      <c r="C1102" s="157"/>
      <c r="D1102" s="146"/>
      <c r="E1102" s="145"/>
      <c r="F1102" s="67"/>
      <c r="G1102" s="67"/>
    </row>
    <row r="1103">
      <c r="A1103" s="67"/>
      <c r="B1103" s="156"/>
      <c r="C1103" s="157"/>
      <c r="D1103" s="146"/>
      <c r="E1103" s="145"/>
      <c r="F1103" s="67"/>
      <c r="G1103" s="67"/>
    </row>
    <row r="1104">
      <c r="A1104" s="67"/>
      <c r="B1104" s="156"/>
      <c r="C1104" s="157"/>
      <c r="D1104" s="146"/>
      <c r="E1104" s="145"/>
      <c r="F1104" s="67"/>
      <c r="G1104" s="67"/>
    </row>
    <row r="1105">
      <c r="A1105" s="67"/>
      <c r="B1105" s="156"/>
      <c r="C1105" s="157"/>
      <c r="D1105" s="146"/>
      <c r="E1105" s="145"/>
      <c r="F1105" s="67"/>
      <c r="G1105" s="67"/>
    </row>
    <row r="1106">
      <c r="A1106" s="67"/>
      <c r="B1106" s="156"/>
      <c r="C1106" s="157"/>
      <c r="D1106" s="146"/>
      <c r="E1106" s="145"/>
      <c r="F1106" s="67"/>
      <c r="G1106" s="67"/>
    </row>
    <row r="1107">
      <c r="A1107" s="67"/>
      <c r="B1107" s="156"/>
      <c r="C1107" s="157"/>
      <c r="D1107" s="146"/>
      <c r="E1107" s="145"/>
      <c r="F1107" s="67"/>
      <c r="G1107" s="67"/>
    </row>
    <row r="1108">
      <c r="A1108" s="67"/>
      <c r="B1108" s="156"/>
      <c r="C1108" s="157"/>
      <c r="D1108" s="146"/>
      <c r="E1108" s="145"/>
      <c r="F1108" s="67"/>
      <c r="G1108" s="67"/>
    </row>
    <row r="1109">
      <c r="A1109" s="67"/>
      <c r="B1109" s="156"/>
      <c r="C1109" s="157"/>
      <c r="D1109" s="146"/>
      <c r="E1109" s="145"/>
      <c r="F1109" s="67"/>
      <c r="G1109" s="67"/>
    </row>
    <row r="1110">
      <c r="A1110" s="67"/>
      <c r="B1110" s="156"/>
      <c r="C1110" s="157"/>
      <c r="D1110" s="146"/>
      <c r="E1110" s="145"/>
      <c r="F1110" s="67"/>
      <c r="G1110" s="67"/>
    </row>
    <row r="1111">
      <c r="A1111" s="67"/>
      <c r="B1111" s="156"/>
      <c r="C1111" s="157"/>
      <c r="D1111" s="146"/>
      <c r="E1111" s="145"/>
      <c r="F1111" s="67"/>
      <c r="G1111" s="67"/>
    </row>
    <row r="1112">
      <c r="A1112" s="67"/>
      <c r="B1112" s="156"/>
      <c r="C1112" s="157"/>
      <c r="D1112" s="146"/>
      <c r="E1112" s="145"/>
      <c r="F1112" s="67"/>
      <c r="G1112" s="67"/>
    </row>
    <row r="1113">
      <c r="A1113" s="67"/>
      <c r="B1113" s="156"/>
      <c r="C1113" s="157"/>
      <c r="D1113" s="146"/>
      <c r="E1113" s="145"/>
      <c r="F1113" s="67"/>
      <c r="G1113" s="67"/>
    </row>
    <row r="1114">
      <c r="A1114" s="67"/>
      <c r="B1114" s="156"/>
      <c r="C1114" s="157"/>
      <c r="D1114" s="146"/>
      <c r="E1114" s="145"/>
      <c r="F1114" s="67"/>
      <c r="G1114" s="67"/>
    </row>
    <row r="1115">
      <c r="A1115" s="67"/>
      <c r="B1115" s="156"/>
      <c r="C1115" s="157"/>
      <c r="D1115" s="146"/>
      <c r="E1115" s="145"/>
      <c r="F1115" s="67"/>
      <c r="G1115" s="67"/>
    </row>
    <row r="1116">
      <c r="A1116" s="67"/>
      <c r="B1116" s="156"/>
      <c r="C1116" s="157"/>
      <c r="D1116" s="146"/>
      <c r="E1116" s="145"/>
      <c r="F1116" s="67"/>
      <c r="G1116" s="67"/>
    </row>
    <row r="1117">
      <c r="A1117" s="67"/>
      <c r="B1117" s="156"/>
      <c r="C1117" s="157"/>
      <c r="D1117" s="146"/>
      <c r="E1117" s="145"/>
      <c r="F1117" s="67"/>
      <c r="G1117" s="67"/>
    </row>
    <row r="1118">
      <c r="A1118" s="67"/>
      <c r="B1118" s="156"/>
      <c r="C1118" s="157"/>
      <c r="D1118" s="146"/>
      <c r="E1118" s="145"/>
      <c r="F1118" s="67"/>
      <c r="G1118" s="67"/>
    </row>
    <row r="1119">
      <c r="A1119" s="67"/>
      <c r="B1119" s="156"/>
      <c r="C1119" s="157"/>
      <c r="D1119" s="146"/>
      <c r="E1119" s="145"/>
      <c r="F1119" s="67"/>
      <c r="G1119" s="67"/>
    </row>
    <row r="1120">
      <c r="A1120" s="67"/>
      <c r="B1120" s="156"/>
      <c r="C1120" s="157"/>
      <c r="D1120" s="146"/>
      <c r="E1120" s="145"/>
      <c r="F1120" s="67"/>
      <c r="G1120" s="67"/>
    </row>
    <row r="1121">
      <c r="A1121" s="67"/>
      <c r="B1121" s="156"/>
      <c r="C1121" s="157"/>
      <c r="D1121" s="146"/>
      <c r="E1121" s="145"/>
      <c r="F1121" s="67"/>
      <c r="G1121" s="67"/>
    </row>
    <row r="1122">
      <c r="A1122" s="67"/>
      <c r="B1122" s="156"/>
      <c r="C1122" s="157"/>
      <c r="D1122" s="146"/>
      <c r="E1122" s="145"/>
      <c r="F1122" s="67"/>
      <c r="G1122" s="67"/>
    </row>
    <row r="1123">
      <c r="A1123" s="67"/>
      <c r="B1123" s="156"/>
      <c r="C1123" s="157"/>
      <c r="D1123" s="146"/>
      <c r="E1123" s="145"/>
      <c r="F1123" s="67"/>
      <c r="G1123" s="67"/>
    </row>
    <row r="1124">
      <c r="A1124" s="67"/>
      <c r="B1124" s="156"/>
      <c r="C1124" s="157"/>
      <c r="D1124" s="146"/>
      <c r="E1124" s="145"/>
      <c r="F1124" s="67"/>
      <c r="G1124" s="67"/>
    </row>
    <row r="1125">
      <c r="A1125" s="67"/>
      <c r="B1125" s="156"/>
      <c r="C1125" s="157"/>
      <c r="D1125" s="146"/>
      <c r="E1125" s="145"/>
      <c r="F1125" s="67"/>
      <c r="G1125" s="67"/>
    </row>
    <row r="1126">
      <c r="A1126" s="67"/>
      <c r="B1126" s="156"/>
      <c r="C1126" s="157"/>
      <c r="D1126" s="146"/>
      <c r="E1126" s="145"/>
      <c r="F1126" s="67"/>
      <c r="G1126" s="67"/>
    </row>
    <row r="1127">
      <c r="A1127" s="67"/>
      <c r="B1127" s="156"/>
      <c r="C1127" s="157"/>
      <c r="D1127" s="146"/>
      <c r="E1127" s="145"/>
      <c r="F1127" s="67"/>
      <c r="G1127" s="67"/>
    </row>
    <row r="1128">
      <c r="A1128" s="67"/>
      <c r="B1128" s="156"/>
      <c r="C1128" s="157"/>
      <c r="D1128" s="146"/>
      <c r="E1128" s="145"/>
      <c r="F1128" s="67"/>
      <c r="G1128" s="67"/>
    </row>
    <row r="1129">
      <c r="A1129" s="67"/>
      <c r="B1129" s="156"/>
      <c r="C1129" s="157"/>
      <c r="D1129" s="146"/>
      <c r="E1129" s="145"/>
      <c r="F1129" s="67"/>
      <c r="G1129" s="67"/>
    </row>
    <row r="1130">
      <c r="A1130" s="67"/>
      <c r="B1130" s="156"/>
      <c r="C1130" s="157"/>
      <c r="D1130" s="146"/>
      <c r="E1130" s="145"/>
      <c r="F1130" s="67"/>
      <c r="G1130" s="67"/>
    </row>
    <row r="1131">
      <c r="A1131" s="67"/>
      <c r="B1131" s="156"/>
      <c r="C1131" s="157"/>
      <c r="D1131" s="146"/>
      <c r="E1131" s="145"/>
      <c r="F1131" s="67"/>
      <c r="G1131" s="67"/>
    </row>
    <row r="1132">
      <c r="A1132" s="67"/>
      <c r="B1132" s="156"/>
      <c r="C1132" s="157"/>
      <c r="D1132" s="146"/>
      <c r="E1132" s="145"/>
      <c r="F1132" s="67"/>
      <c r="G1132" s="67"/>
    </row>
    <row r="1133">
      <c r="A1133" s="67"/>
      <c r="B1133" s="156"/>
      <c r="C1133" s="157"/>
      <c r="D1133" s="146"/>
      <c r="E1133" s="145"/>
      <c r="F1133" s="67"/>
      <c r="G1133" s="67"/>
    </row>
    <row r="1134">
      <c r="A1134" s="67"/>
      <c r="B1134" s="156"/>
      <c r="C1134" s="157"/>
      <c r="D1134" s="146"/>
      <c r="E1134" s="145"/>
      <c r="F1134" s="67"/>
      <c r="G1134" s="67"/>
    </row>
    <row r="1135">
      <c r="A1135" s="67"/>
      <c r="B1135" s="156"/>
      <c r="C1135" s="157"/>
      <c r="D1135" s="146"/>
      <c r="E1135" s="145"/>
      <c r="F1135" s="67"/>
      <c r="G1135" s="67"/>
    </row>
    <row r="1136">
      <c r="A1136" s="67"/>
      <c r="B1136" s="156"/>
      <c r="C1136" s="157"/>
      <c r="D1136" s="146"/>
      <c r="E1136" s="145"/>
      <c r="F1136" s="67"/>
      <c r="G1136" s="67"/>
    </row>
    <row r="1137">
      <c r="A1137" s="67"/>
      <c r="B1137" s="156"/>
      <c r="C1137" s="157"/>
      <c r="D1137" s="146"/>
      <c r="E1137" s="145"/>
      <c r="F1137" s="67"/>
      <c r="G1137" s="67"/>
    </row>
    <row r="1138">
      <c r="A1138" s="67"/>
      <c r="B1138" s="156"/>
      <c r="C1138" s="157"/>
      <c r="D1138" s="146"/>
      <c r="E1138" s="145"/>
      <c r="F1138" s="67"/>
      <c r="G1138" s="67"/>
    </row>
    <row r="1139">
      <c r="A1139" s="67"/>
      <c r="B1139" s="156"/>
      <c r="C1139" s="157"/>
      <c r="D1139" s="146"/>
      <c r="E1139" s="145"/>
      <c r="F1139" s="67"/>
      <c r="G1139" s="67"/>
    </row>
    <row r="1140">
      <c r="A1140" s="67"/>
      <c r="B1140" s="156"/>
      <c r="C1140" s="157"/>
      <c r="D1140" s="146"/>
      <c r="E1140" s="145"/>
      <c r="F1140" s="67"/>
      <c r="G1140" s="67"/>
    </row>
    <row r="1141">
      <c r="A1141" s="67"/>
      <c r="B1141" s="156"/>
      <c r="C1141" s="157"/>
      <c r="D1141" s="146"/>
      <c r="E1141" s="145"/>
      <c r="F1141" s="67"/>
      <c r="G1141" s="67"/>
    </row>
    <row r="1142">
      <c r="A1142" s="67"/>
      <c r="B1142" s="156"/>
      <c r="C1142" s="157"/>
      <c r="D1142" s="146"/>
      <c r="E1142" s="145"/>
      <c r="F1142" s="67"/>
      <c r="G1142" s="67"/>
    </row>
    <row r="1143">
      <c r="A1143" s="67"/>
      <c r="B1143" s="156"/>
      <c r="C1143" s="157"/>
      <c r="D1143" s="146"/>
      <c r="E1143" s="145"/>
      <c r="F1143" s="67"/>
      <c r="G1143" s="67"/>
    </row>
    <row r="1144">
      <c r="A1144" s="67"/>
      <c r="B1144" s="156"/>
      <c r="C1144" s="157"/>
      <c r="D1144" s="146"/>
      <c r="E1144" s="145"/>
      <c r="F1144" s="67"/>
      <c r="G1144" s="67"/>
    </row>
    <row r="1145">
      <c r="A1145" s="67"/>
      <c r="B1145" s="156"/>
      <c r="C1145" s="157"/>
      <c r="D1145" s="146"/>
      <c r="E1145" s="145"/>
      <c r="F1145" s="67"/>
      <c r="G1145" s="67"/>
    </row>
    <row r="1146">
      <c r="A1146" s="67"/>
      <c r="B1146" s="156"/>
      <c r="C1146" s="157"/>
      <c r="D1146" s="146"/>
      <c r="E1146" s="145"/>
      <c r="F1146" s="67"/>
      <c r="G1146" s="67"/>
    </row>
    <row r="1147">
      <c r="A1147" s="67"/>
      <c r="B1147" s="156"/>
      <c r="C1147" s="157"/>
      <c r="D1147" s="146"/>
      <c r="E1147" s="145"/>
      <c r="F1147" s="67"/>
      <c r="G1147" s="67"/>
    </row>
    <row r="1148">
      <c r="A1148" s="67"/>
      <c r="B1148" s="156"/>
      <c r="C1148" s="157"/>
      <c r="D1148" s="146"/>
      <c r="E1148" s="145"/>
      <c r="F1148" s="67"/>
      <c r="G1148" s="67"/>
    </row>
    <row r="1149">
      <c r="A1149" s="67"/>
      <c r="B1149" s="156"/>
      <c r="C1149" s="157"/>
      <c r="D1149" s="146"/>
      <c r="E1149" s="145"/>
      <c r="F1149" s="67"/>
      <c r="G1149" s="67"/>
    </row>
    <row r="1150">
      <c r="A1150" s="67"/>
      <c r="B1150" s="156"/>
      <c r="C1150" s="157"/>
      <c r="D1150" s="146"/>
      <c r="E1150" s="145"/>
      <c r="F1150" s="67"/>
      <c r="G1150" s="67"/>
    </row>
    <row r="1151">
      <c r="A1151" s="67"/>
      <c r="B1151" s="156"/>
      <c r="C1151" s="157"/>
      <c r="D1151" s="146"/>
      <c r="E1151" s="145"/>
      <c r="F1151" s="67"/>
      <c r="G1151" s="67"/>
    </row>
    <row r="1152">
      <c r="A1152" s="67"/>
      <c r="B1152" s="156"/>
      <c r="C1152" s="157"/>
      <c r="D1152" s="146"/>
      <c r="E1152" s="145"/>
      <c r="F1152" s="67"/>
      <c r="G1152" s="67"/>
    </row>
    <row r="1153">
      <c r="A1153" s="67"/>
      <c r="B1153" s="156"/>
      <c r="C1153" s="157"/>
      <c r="D1153" s="146"/>
      <c r="E1153" s="145"/>
      <c r="F1153" s="67"/>
      <c r="G1153" s="67"/>
    </row>
    <row r="1154">
      <c r="A1154" s="67"/>
      <c r="B1154" s="156"/>
      <c r="C1154" s="157"/>
      <c r="D1154" s="146"/>
      <c r="E1154" s="145"/>
      <c r="F1154" s="67"/>
      <c r="G1154" s="67"/>
    </row>
    <row r="1155">
      <c r="A1155" s="67"/>
      <c r="B1155" s="156"/>
      <c r="C1155" s="157"/>
      <c r="D1155" s="146"/>
      <c r="E1155" s="145"/>
      <c r="F1155" s="67"/>
      <c r="G1155" s="67"/>
    </row>
    <row r="1156">
      <c r="A1156" s="67"/>
      <c r="B1156" s="156"/>
      <c r="C1156" s="157"/>
      <c r="D1156" s="146"/>
      <c r="E1156" s="145"/>
      <c r="F1156" s="67"/>
      <c r="G1156" s="67"/>
    </row>
    <row r="1157">
      <c r="A1157" s="67"/>
      <c r="B1157" s="156"/>
      <c r="C1157" s="157"/>
      <c r="D1157" s="146"/>
      <c r="E1157" s="145"/>
      <c r="F1157" s="67"/>
      <c r="G1157" s="67"/>
    </row>
    <row r="1158">
      <c r="A1158" s="67"/>
      <c r="B1158" s="156"/>
      <c r="C1158" s="157"/>
      <c r="D1158" s="146"/>
      <c r="E1158" s="145"/>
      <c r="F1158" s="67"/>
      <c r="G1158" s="67"/>
    </row>
    <row r="1159">
      <c r="A1159" s="67"/>
      <c r="B1159" s="156"/>
      <c r="C1159" s="157"/>
      <c r="D1159" s="146"/>
      <c r="E1159" s="145"/>
      <c r="F1159" s="67"/>
      <c r="G1159" s="67"/>
    </row>
    <row r="1160">
      <c r="A1160" s="67"/>
      <c r="B1160" s="156"/>
      <c r="C1160" s="157"/>
      <c r="D1160" s="146"/>
      <c r="E1160" s="145"/>
      <c r="F1160" s="67"/>
      <c r="G1160" s="67"/>
    </row>
    <row r="1161">
      <c r="A1161" s="67"/>
      <c r="B1161" s="156"/>
      <c r="C1161" s="157"/>
      <c r="D1161" s="146"/>
      <c r="E1161" s="145"/>
      <c r="F1161" s="67"/>
      <c r="G1161" s="67"/>
    </row>
    <row r="1162">
      <c r="A1162" s="67"/>
      <c r="B1162" s="156"/>
      <c r="C1162" s="157"/>
      <c r="D1162" s="146"/>
      <c r="E1162" s="145"/>
      <c r="F1162" s="67"/>
      <c r="G1162" s="67"/>
    </row>
    <row r="1163">
      <c r="A1163" s="67"/>
      <c r="B1163" s="156"/>
      <c r="C1163" s="157"/>
      <c r="D1163" s="146"/>
      <c r="E1163" s="145"/>
      <c r="F1163" s="67"/>
      <c r="G1163" s="67"/>
    </row>
    <row r="1164">
      <c r="A1164" s="67"/>
      <c r="B1164" s="156"/>
      <c r="C1164" s="157"/>
      <c r="D1164" s="146"/>
      <c r="E1164" s="145"/>
      <c r="F1164" s="67"/>
      <c r="G1164" s="67"/>
    </row>
    <row r="1165">
      <c r="A1165" s="67"/>
      <c r="B1165" s="156"/>
      <c r="C1165" s="157"/>
      <c r="D1165" s="146"/>
      <c r="E1165" s="145"/>
      <c r="F1165" s="67"/>
      <c r="G1165" s="67"/>
    </row>
    <row r="1166">
      <c r="A1166" s="67"/>
      <c r="B1166" s="156"/>
      <c r="C1166" s="157"/>
      <c r="D1166" s="146"/>
      <c r="E1166" s="145"/>
      <c r="F1166" s="67"/>
      <c r="G1166" s="67"/>
    </row>
    <row r="1167">
      <c r="A1167" s="67"/>
      <c r="B1167" s="156"/>
      <c r="C1167" s="157"/>
      <c r="D1167" s="146"/>
      <c r="E1167" s="145"/>
      <c r="F1167" s="67"/>
      <c r="G1167" s="67"/>
    </row>
    <row r="1168">
      <c r="A1168" s="67"/>
      <c r="B1168" s="156"/>
      <c r="C1168" s="157"/>
      <c r="D1168" s="146"/>
      <c r="E1168" s="145"/>
      <c r="F1168" s="67"/>
      <c r="G1168" s="67"/>
    </row>
    <row r="1169">
      <c r="A1169" s="67"/>
      <c r="B1169" s="156"/>
      <c r="C1169" s="157"/>
      <c r="D1169" s="146"/>
      <c r="E1169" s="145"/>
      <c r="F1169" s="67"/>
      <c r="G1169" s="67"/>
    </row>
    <row r="1170">
      <c r="A1170" s="67"/>
      <c r="B1170" s="156"/>
      <c r="C1170" s="157"/>
      <c r="D1170" s="146"/>
      <c r="E1170" s="145"/>
      <c r="F1170" s="67"/>
      <c r="G1170" s="67"/>
    </row>
    <row r="1171">
      <c r="A1171" s="67"/>
      <c r="B1171" s="156"/>
      <c r="C1171" s="157"/>
      <c r="D1171" s="146"/>
      <c r="E1171" s="145"/>
      <c r="F1171" s="67"/>
      <c r="G1171" s="67"/>
    </row>
    <row r="1172">
      <c r="A1172" s="67"/>
      <c r="B1172" s="156"/>
      <c r="C1172" s="157"/>
      <c r="D1172" s="146"/>
      <c r="E1172" s="145"/>
      <c r="F1172" s="67"/>
      <c r="G1172" s="67"/>
    </row>
    <row r="1173">
      <c r="A1173" s="67"/>
      <c r="B1173" s="156"/>
      <c r="C1173" s="157"/>
      <c r="D1173" s="146"/>
      <c r="E1173" s="145"/>
      <c r="F1173" s="67"/>
      <c r="G1173" s="67"/>
    </row>
    <row r="1174">
      <c r="A1174" s="67"/>
      <c r="B1174" s="156"/>
      <c r="C1174" s="157"/>
      <c r="D1174" s="146"/>
      <c r="E1174" s="145"/>
      <c r="F1174" s="67"/>
      <c r="G1174" s="67"/>
    </row>
    <row r="1175">
      <c r="A1175" s="67"/>
      <c r="B1175" s="156"/>
      <c r="C1175" s="157"/>
      <c r="D1175" s="146"/>
      <c r="E1175" s="145"/>
      <c r="F1175" s="67"/>
      <c r="G1175" s="67"/>
    </row>
    <row r="1176">
      <c r="A1176" s="67"/>
      <c r="B1176" s="156"/>
      <c r="C1176" s="157"/>
      <c r="D1176" s="146"/>
      <c r="E1176" s="145"/>
      <c r="F1176" s="67"/>
      <c r="G1176" s="67"/>
    </row>
    <row r="1177">
      <c r="A1177" s="67"/>
      <c r="B1177" s="156"/>
      <c r="C1177" s="157"/>
      <c r="D1177" s="146"/>
      <c r="E1177" s="145"/>
      <c r="F1177" s="67"/>
      <c r="G1177" s="67"/>
    </row>
    <row r="1178">
      <c r="A1178" s="67"/>
      <c r="B1178" s="156"/>
      <c r="C1178" s="157"/>
      <c r="D1178" s="146"/>
      <c r="E1178" s="145"/>
      <c r="F1178" s="67"/>
      <c r="G1178" s="67"/>
    </row>
    <row r="1179">
      <c r="A1179" s="67"/>
      <c r="B1179" s="156"/>
      <c r="C1179" s="157"/>
      <c r="D1179" s="146"/>
      <c r="E1179" s="145"/>
      <c r="F1179" s="67"/>
      <c r="G1179" s="67"/>
    </row>
    <row r="1180">
      <c r="A1180" s="67"/>
      <c r="B1180" s="156"/>
      <c r="C1180" s="157"/>
      <c r="D1180" s="146"/>
      <c r="E1180" s="145"/>
      <c r="F1180" s="67"/>
      <c r="G1180" s="67"/>
    </row>
    <row r="1181">
      <c r="A1181" s="67"/>
      <c r="B1181" s="156"/>
      <c r="C1181" s="157"/>
      <c r="D1181" s="146"/>
      <c r="E1181" s="145"/>
      <c r="F1181" s="67"/>
      <c r="G1181" s="67"/>
    </row>
    <row r="1182">
      <c r="A1182" s="67"/>
      <c r="B1182" s="156"/>
      <c r="C1182" s="157"/>
      <c r="D1182" s="146"/>
      <c r="E1182" s="145"/>
      <c r="F1182" s="67"/>
      <c r="G1182" s="67"/>
    </row>
    <row r="1183">
      <c r="A1183" s="67"/>
      <c r="B1183" s="156"/>
      <c r="C1183" s="157"/>
      <c r="D1183" s="146"/>
      <c r="E1183" s="145"/>
      <c r="F1183" s="67"/>
      <c r="G1183" s="67"/>
    </row>
    <row r="1184">
      <c r="A1184" s="67"/>
      <c r="B1184" s="156"/>
      <c r="C1184" s="157"/>
      <c r="D1184" s="146"/>
      <c r="E1184" s="145"/>
      <c r="F1184" s="67"/>
      <c r="G1184" s="67"/>
    </row>
    <row r="1185">
      <c r="A1185" s="67"/>
      <c r="B1185" s="156"/>
      <c r="C1185" s="157"/>
      <c r="D1185" s="146"/>
      <c r="E1185" s="145"/>
      <c r="F1185" s="67"/>
      <c r="G1185" s="67"/>
    </row>
    <row r="1186">
      <c r="A1186" s="67"/>
      <c r="B1186" s="156"/>
      <c r="C1186" s="157"/>
      <c r="D1186" s="146"/>
      <c r="E1186" s="145"/>
      <c r="F1186" s="67"/>
      <c r="G1186" s="67"/>
    </row>
    <row r="1187">
      <c r="A1187" s="67"/>
      <c r="B1187" s="156"/>
      <c r="C1187" s="157"/>
      <c r="D1187" s="146"/>
      <c r="E1187" s="145"/>
      <c r="F1187" s="67"/>
      <c r="G1187" s="67"/>
    </row>
    <row r="1188">
      <c r="A1188" s="67"/>
      <c r="B1188" s="156"/>
      <c r="C1188" s="157"/>
      <c r="D1188" s="146"/>
      <c r="E1188" s="145"/>
      <c r="F1188" s="67"/>
      <c r="G1188" s="67"/>
    </row>
    <row r="1189">
      <c r="A1189" s="67"/>
      <c r="B1189" s="156"/>
      <c r="C1189" s="157"/>
      <c r="D1189" s="146"/>
      <c r="E1189" s="145"/>
      <c r="F1189" s="67"/>
      <c r="G1189" s="67"/>
    </row>
    <row r="1190">
      <c r="A1190" s="67"/>
      <c r="B1190" s="156"/>
      <c r="C1190" s="157"/>
      <c r="D1190" s="146"/>
      <c r="E1190" s="145"/>
      <c r="F1190" s="67"/>
      <c r="G1190" s="67"/>
    </row>
    <row r="1191">
      <c r="A1191" s="67"/>
      <c r="B1191" s="156"/>
      <c r="C1191" s="157"/>
      <c r="D1191" s="146"/>
      <c r="E1191" s="145"/>
      <c r="F1191" s="67"/>
      <c r="G1191" s="67"/>
    </row>
    <row r="1192">
      <c r="A1192" s="67"/>
      <c r="B1192" s="156"/>
      <c r="C1192" s="157"/>
      <c r="D1192" s="146"/>
      <c r="E1192" s="145"/>
      <c r="F1192" s="67"/>
      <c r="G1192" s="67"/>
    </row>
    <row r="1193">
      <c r="A1193" s="67"/>
      <c r="B1193" s="156"/>
      <c r="C1193" s="157"/>
      <c r="D1193" s="146"/>
      <c r="E1193" s="145"/>
      <c r="F1193" s="67"/>
      <c r="G1193" s="67"/>
    </row>
    <row r="1194">
      <c r="A1194" s="67"/>
      <c r="B1194" s="156"/>
      <c r="C1194" s="157"/>
      <c r="D1194" s="146"/>
      <c r="E1194" s="145"/>
      <c r="F1194" s="67"/>
      <c r="G1194" s="67"/>
    </row>
    <row r="1195">
      <c r="A1195" s="67"/>
      <c r="B1195" s="156"/>
      <c r="C1195" s="157"/>
      <c r="D1195" s="146"/>
      <c r="E1195" s="145"/>
      <c r="F1195" s="67"/>
      <c r="G1195" s="67"/>
    </row>
    <row r="1196">
      <c r="A1196" s="67"/>
      <c r="B1196" s="156"/>
      <c r="C1196" s="157"/>
      <c r="D1196" s="146"/>
      <c r="E1196" s="145"/>
      <c r="F1196" s="67"/>
      <c r="G1196" s="67"/>
    </row>
    <row r="1197">
      <c r="A1197" s="67"/>
      <c r="B1197" s="156"/>
      <c r="C1197" s="157"/>
      <c r="D1197" s="146"/>
      <c r="E1197" s="145"/>
      <c r="F1197" s="67"/>
      <c r="G1197" s="67"/>
    </row>
    <row r="1198">
      <c r="A1198" s="67"/>
      <c r="B1198" s="156"/>
      <c r="C1198" s="157"/>
      <c r="D1198" s="146"/>
      <c r="E1198" s="145"/>
      <c r="F1198" s="67"/>
      <c r="G1198" s="67"/>
    </row>
    <row r="1199">
      <c r="A1199" s="67"/>
      <c r="B1199" s="156"/>
      <c r="C1199" s="157"/>
      <c r="D1199" s="146"/>
      <c r="E1199" s="145"/>
      <c r="F1199" s="67"/>
      <c r="G1199" s="67"/>
    </row>
    <row r="1200">
      <c r="A1200" s="67"/>
      <c r="B1200" s="156"/>
      <c r="C1200" s="157"/>
      <c r="D1200" s="146"/>
      <c r="E1200" s="145"/>
      <c r="F1200" s="67"/>
      <c r="G1200" s="67"/>
    </row>
    <row r="1201">
      <c r="A1201" s="67"/>
      <c r="B1201" s="156"/>
      <c r="C1201" s="157"/>
      <c r="D1201" s="146"/>
      <c r="E1201" s="145"/>
      <c r="F1201" s="67"/>
      <c r="G1201" s="67"/>
    </row>
    <row r="1202">
      <c r="A1202" s="67"/>
      <c r="B1202" s="156"/>
      <c r="C1202" s="157"/>
      <c r="D1202" s="146"/>
      <c r="E1202" s="145"/>
      <c r="F1202" s="67"/>
      <c r="G1202" s="67"/>
    </row>
    <row r="1203">
      <c r="A1203" s="67"/>
      <c r="B1203" s="156"/>
      <c r="C1203" s="157"/>
      <c r="D1203" s="146"/>
      <c r="E1203" s="145"/>
      <c r="F1203" s="67"/>
      <c r="G1203" s="67"/>
    </row>
    <row r="1204">
      <c r="A1204" s="67"/>
      <c r="B1204" s="156"/>
      <c r="C1204" s="157"/>
      <c r="D1204" s="146"/>
      <c r="E1204" s="145"/>
      <c r="F1204" s="67"/>
      <c r="G1204" s="67"/>
    </row>
    <row r="1205">
      <c r="A1205" s="67"/>
      <c r="B1205" s="156"/>
      <c r="C1205" s="157"/>
      <c r="D1205" s="146"/>
      <c r="E1205" s="145"/>
      <c r="F1205" s="67"/>
      <c r="G1205" s="67"/>
    </row>
    <row r="1206">
      <c r="A1206" s="67"/>
      <c r="B1206" s="156"/>
      <c r="C1206" s="157"/>
      <c r="D1206" s="146"/>
      <c r="E1206" s="145"/>
      <c r="F1206" s="67"/>
      <c r="G1206" s="67"/>
    </row>
    <row r="1207">
      <c r="A1207" s="67"/>
      <c r="B1207" s="156"/>
      <c r="C1207" s="157"/>
      <c r="D1207" s="146"/>
      <c r="E1207" s="145"/>
      <c r="F1207" s="67"/>
      <c r="G1207" s="67"/>
    </row>
    <row r="1208">
      <c r="A1208" s="67"/>
      <c r="B1208" s="156"/>
      <c r="C1208" s="157"/>
      <c r="D1208" s="146"/>
      <c r="E1208" s="145"/>
      <c r="F1208" s="67"/>
      <c r="G1208" s="67"/>
    </row>
    <row r="1209">
      <c r="A1209" s="67"/>
      <c r="B1209" s="156"/>
      <c r="C1209" s="157"/>
      <c r="D1209" s="146"/>
      <c r="E1209" s="145"/>
      <c r="F1209" s="67"/>
      <c r="G1209" s="67"/>
    </row>
    <row r="1210">
      <c r="A1210" s="67"/>
      <c r="B1210" s="156"/>
      <c r="C1210" s="157"/>
      <c r="D1210" s="146"/>
      <c r="E1210" s="145"/>
      <c r="F1210" s="67"/>
      <c r="G1210" s="67"/>
    </row>
    <row r="1211">
      <c r="A1211" s="67"/>
      <c r="B1211" s="156"/>
      <c r="C1211" s="157"/>
      <c r="D1211" s="146"/>
      <c r="E1211" s="145"/>
      <c r="F1211" s="67"/>
      <c r="G1211" s="67"/>
    </row>
    <row r="1212">
      <c r="A1212" s="67"/>
      <c r="B1212" s="156"/>
      <c r="C1212" s="157"/>
      <c r="D1212" s="146"/>
      <c r="E1212" s="145"/>
      <c r="F1212" s="67"/>
      <c r="G1212" s="67"/>
    </row>
    <row r="1213">
      <c r="A1213" s="67"/>
      <c r="B1213" s="156"/>
      <c r="C1213" s="157"/>
      <c r="D1213" s="146"/>
      <c r="E1213" s="145"/>
      <c r="F1213" s="67"/>
      <c r="G1213" s="67"/>
    </row>
    <row r="1214">
      <c r="A1214" s="67"/>
      <c r="B1214" s="156"/>
      <c r="C1214" s="157"/>
      <c r="D1214" s="146"/>
      <c r="E1214" s="145"/>
      <c r="F1214" s="67"/>
      <c r="G1214" s="67"/>
    </row>
    <row r="1215">
      <c r="A1215" s="67"/>
      <c r="B1215" s="156"/>
      <c r="C1215" s="157"/>
      <c r="D1215" s="146"/>
      <c r="E1215" s="145"/>
      <c r="F1215" s="67"/>
      <c r="G1215" s="67"/>
    </row>
    <row r="1216">
      <c r="A1216" s="67"/>
      <c r="B1216" s="156"/>
      <c r="C1216" s="157"/>
      <c r="D1216" s="146"/>
      <c r="E1216" s="145"/>
      <c r="F1216" s="67"/>
      <c r="G1216" s="67"/>
    </row>
    <row r="1217">
      <c r="A1217" s="67"/>
      <c r="B1217" s="156"/>
      <c r="C1217" s="157"/>
      <c r="D1217" s="146"/>
      <c r="E1217" s="145"/>
      <c r="F1217" s="67"/>
      <c r="G1217" s="67"/>
    </row>
    <row r="1218">
      <c r="A1218" s="67"/>
      <c r="B1218" s="156"/>
      <c r="C1218" s="157"/>
      <c r="D1218" s="146"/>
      <c r="E1218" s="145"/>
      <c r="F1218" s="67"/>
      <c r="G1218" s="67"/>
    </row>
    <row r="1219">
      <c r="A1219" s="67"/>
      <c r="B1219" s="156"/>
      <c r="C1219" s="157"/>
      <c r="D1219" s="146"/>
      <c r="E1219" s="145"/>
      <c r="F1219" s="67"/>
      <c r="G1219" s="67"/>
    </row>
    <row r="1220">
      <c r="A1220" s="67"/>
      <c r="B1220" s="156"/>
      <c r="C1220" s="157"/>
      <c r="D1220" s="146"/>
      <c r="E1220" s="145"/>
      <c r="F1220" s="67"/>
      <c r="G1220" s="67"/>
    </row>
    <row r="1221">
      <c r="A1221" s="67"/>
      <c r="B1221" s="156"/>
      <c r="C1221" s="157"/>
      <c r="D1221" s="146"/>
      <c r="E1221" s="145"/>
      <c r="F1221" s="67"/>
      <c r="G1221" s="67"/>
    </row>
    <row r="1222">
      <c r="A1222" s="67"/>
      <c r="B1222" s="156"/>
      <c r="C1222" s="157"/>
      <c r="D1222" s="146"/>
      <c r="E1222" s="145"/>
      <c r="F1222" s="67"/>
      <c r="G1222" s="67"/>
    </row>
    <row r="1223">
      <c r="A1223" s="67"/>
      <c r="B1223" s="156"/>
      <c r="C1223" s="157"/>
      <c r="D1223" s="146"/>
      <c r="E1223" s="145"/>
      <c r="F1223" s="67"/>
      <c r="G1223" s="67"/>
    </row>
    <row r="1224">
      <c r="A1224" s="67"/>
      <c r="B1224" s="156"/>
      <c r="C1224" s="157"/>
      <c r="D1224" s="146"/>
      <c r="E1224" s="145"/>
      <c r="F1224" s="67"/>
      <c r="G1224" s="67"/>
    </row>
    <row r="1225">
      <c r="A1225" s="67"/>
      <c r="B1225" s="156"/>
      <c r="C1225" s="157"/>
      <c r="D1225" s="146"/>
      <c r="E1225" s="145"/>
      <c r="F1225" s="67"/>
      <c r="G1225" s="67"/>
    </row>
    <row r="1226">
      <c r="A1226" s="67"/>
      <c r="B1226" s="156"/>
      <c r="C1226" s="157"/>
      <c r="D1226" s="146"/>
      <c r="E1226" s="145"/>
      <c r="F1226" s="67"/>
      <c r="G1226" s="67"/>
    </row>
    <row r="1227">
      <c r="A1227" s="67"/>
      <c r="B1227" s="156"/>
      <c r="C1227" s="157"/>
      <c r="D1227" s="146"/>
      <c r="E1227" s="145"/>
      <c r="F1227" s="67"/>
      <c r="G1227" s="67"/>
    </row>
    <row r="1228">
      <c r="A1228" s="67"/>
      <c r="B1228" s="156"/>
      <c r="C1228" s="157"/>
      <c r="D1228" s="146"/>
      <c r="E1228" s="145"/>
      <c r="F1228" s="67"/>
      <c r="G1228" s="67"/>
    </row>
    <row r="1229">
      <c r="A1229" s="67"/>
      <c r="B1229" s="156"/>
      <c r="C1229" s="157"/>
      <c r="D1229" s="146"/>
      <c r="E1229" s="145"/>
      <c r="F1229" s="67"/>
      <c r="G1229" s="67"/>
    </row>
    <row r="1230">
      <c r="A1230" s="67"/>
      <c r="B1230" s="156"/>
      <c r="C1230" s="157"/>
      <c r="D1230" s="146"/>
      <c r="E1230" s="145"/>
      <c r="F1230" s="67"/>
      <c r="G1230" s="67"/>
    </row>
    <row r="1231">
      <c r="A1231" s="67"/>
      <c r="B1231" s="156"/>
      <c r="C1231" s="157"/>
      <c r="D1231" s="146"/>
      <c r="E1231" s="145"/>
      <c r="F1231" s="67"/>
      <c r="G1231" s="67"/>
    </row>
    <row r="1232">
      <c r="A1232" s="67"/>
      <c r="B1232" s="156"/>
      <c r="C1232" s="157"/>
      <c r="D1232" s="146"/>
      <c r="E1232" s="145"/>
      <c r="F1232" s="67"/>
      <c r="G1232" s="67"/>
    </row>
    <row r="1233">
      <c r="A1233" s="67"/>
      <c r="B1233" s="156"/>
      <c r="C1233" s="157"/>
      <c r="D1233" s="146"/>
      <c r="E1233" s="145"/>
      <c r="F1233" s="67"/>
      <c r="G1233" s="67"/>
    </row>
    <row r="1234">
      <c r="A1234" s="67"/>
      <c r="B1234" s="156"/>
      <c r="C1234" s="157"/>
      <c r="D1234" s="146"/>
      <c r="E1234" s="145"/>
      <c r="F1234" s="67"/>
      <c r="G1234" s="67"/>
    </row>
    <row r="1235">
      <c r="A1235" s="67"/>
      <c r="B1235" s="156"/>
      <c r="C1235" s="157"/>
      <c r="D1235" s="146"/>
      <c r="E1235" s="145"/>
      <c r="F1235" s="67"/>
      <c r="G1235" s="67"/>
    </row>
    <row r="1236">
      <c r="A1236" s="67"/>
      <c r="B1236" s="156"/>
      <c r="C1236" s="157"/>
      <c r="D1236" s="146"/>
      <c r="E1236" s="145"/>
      <c r="F1236" s="67"/>
      <c r="G1236" s="67"/>
    </row>
    <row r="1237">
      <c r="A1237" s="67"/>
      <c r="B1237" s="156"/>
      <c r="C1237" s="157"/>
      <c r="D1237" s="146"/>
      <c r="E1237" s="145"/>
      <c r="F1237" s="67"/>
      <c r="G1237" s="67"/>
    </row>
    <row r="1238">
      <c r="A1238" s="67"/>
      <c r="B1238" s="156"/>
      <c r="C1238" s="157"/>
      <c r="D1238" s="146"/>
      <c r="E1238" s="145"/>
      <c r="F1238" s="67"/>
      <c r="G1238" s="67"/>
    </row>
    <row r="1239">
      <c r="A1239" s="67"/>
      <c r="B1239" s="156"/>
      <c r="C1239" s="157"/>
      <c r="D1239" s="146"/>
      <c r="E1239" s="145"/>
      <c r="F1239" s="67"/>
      <c r="G1239" s="67"/>
    </row>
    <row r="1240">
      <c r="A1240" s="67"/>
      <c r="B1240" s="156"/>
      <c r="C1240" s="157"/>
      <c r="D1240" s="146"/>
      <c r="E1240" s="145"/>
      <c r="F1240" s="67"/>
      <c r="G1240" s="67"/>
    </row>
    <row r="1241">
      <c r="A1241" s="67"/>
      <c r="B1241" s="156"/>
      <c r="C1241" s="157"/>
      <c r="D1241" s="146"/>
      <c r="E1241" s="145"/>
      <c r="F1241" s="67"/>
      <c r="G1241" s="67"/>
    </row>
    <row r="1242">
      <c r="A1242" s="67"/>
      <c r="B1242" s="156"/>
      <c r="C1242" s="157"/>
      <c r="D1242" s="146"/>
      <c r="E1242" s="145"/>
      <c r="F1242" s="67"/>
      <c r="G1242" s="67"/>
    </row>
    <row r="1243">
      <c r="A1243" s="67"/>
      <c r="B1243" s="156"/>
      <c r="C1243" s="157"/>
      <c r="D1243" s="146"/>
      <c r="E1243" s="145"/>
      <c r="F1243" s="67"/>
      <c r="G1243" s="67"/>
    </row>
    <row r="1244">
      <c r="A1244" s="67"/>
      <c r="B1244" s="156"/>
      <c r="C1244" s="157"/>
      <c r="D1244" s="146"/>
      <c r="E1244" s="145"/>
      <c r="F1244" s="67"/>
      <c r="G1244" s="67"/>
    </row>
    <row r="1245">
      <c r="A1245" s="67"/>
      <c r="B1245" s="156"/>
      <c r="C1245" s="157"/>
      <c r="D1245" s="146"/>
      <c r="E1245" s="145"/>
      <c r="F1245" s="67"/>
      <c r="G1245" s="67"/>
    </row>
    <row r="1246">
      <c r="A1246" s="67"/>
      <c r="B1246" s="156"/>
      <c r="C1246" s="157"/>
      <c r="D1246" s="146"/>
      <c r="E1246" s="145"/>
      <c r="F1246" s="67"/>
      <c r="G1246" s="67"/>
    </row>
    <row r="1247">
      <c r="A1247" s="67"/>
      <c r="B1247" s="156"/>
      <c r="C1247" s="157"/>
      <c r="D1247" s="146"/>
      <c r="E1247" s="145"/>
      <c r="F1247" s="67"/>
      <c r="G1247" s="67"/>
    </row>
    <row r="1248">
      <c r="A1248" s="67"/>
      <c r="B1248" s="156"/>
      <c r="C1248" s="157"/>
      <c r="D1248" s="146"/>
      <c r="E1248" s="145"/>
      <c r="F1248" s="67"/>
      <c r="G1248" s="67"/>
    </row>
    <row r="1249">
      <c r="A1249" s="67"/>
      <c r="B1249" s="156"/>
      <c r="C1249" s="157"/>
      <c r="D1249" s="146"/>
      <c r="E1249" s="145"/>
      <c r="F1249" s="67"/>
      <c r="G1249" s="67"/>
    </row>
    <row r="1250">
      <c r="A1250" s="67"/>
      <c r="B1250" s="156"/>
      <c r="C1250" s="157"/>
      <c r="D1250" s="146"/>
      <c r="E1250" s="145"/>
      <c r="F1250" s="67"/>
      <c r="G1250" s="67"/>
    </row>
    <row r="1251">
      <c r="A1251" s="67"/>
      <c r="B1251" s="156"/>
      <c r="C1251" s="157"/>
      <c r="D1251" s="146"/>
      <c r="E1251" s="145"/>
      <c r="F1251" s="67"/>
      <c r="G1251" s="67"/>
    </row>
    <row r="1252">
      <c r="A1252" s="67"/>
      <c r="B1252" s="156"/>
      <c r="C1252" s="157"/>
      <c r="D1252" s="146"/>
      <c r="E1252" s="145"/>
      <c r="F1252" s="67"/>
      <c r="G1252" s="67"/>
    </row>
    <row r="1253">
      <c r="A1253" s="67"/>
      <c r="B1253" s="156"/>
      <c r="C1253" s="157"/>
      <c r="D1253" s="146"/>
      <c r="E1253" s="145"/>
      <c r="F1253" s="67"/>
      <c r="G1253" s="67"/>
    </row>
    <row r="1254">
      <c r="A1254" s="67"/>
      <c r="B1254" s="156"/>
      <c r="C1254" s="157"/>
      <c r="D1254" s="146"/>
      <c r="E1254" s="145"/>
      <c r="F1254" s="67"/>
      <c r="G1254" s="67"/>
    </row>
    <row r="1255">
      <c r="A1255" s="67"/>
      <c r="B1255" s="156"/>
      <c r="C1255" s="157"/>
      <c r="D1255" s="146"/>
      <c r="E1255" s="145"/>
      <c r="F1255" s="67"/>
      <c r="G1255" s="67"/>
    </row>
    <row r="1256">
      <c r="A1256" s="67"/>
      <c r="B1256" s="156"/>
      <c r="C1256" s="157"/>
      <c r="D1256" s="146"/>
      <c r="E1256" s="145"/>
      <c r="F1256" s="67"/>
      <c r="G1256" s="67"/>
    </row>
    <row r="1257">
      <c r="A1257" s="67"/>
      <c r="B1257" s="156"/>
      <c r="C1257" s="157"/>
      <c r="D1257" s="146"/>
      <c r="E1257" s="145"/>
      <c r="F1257" s="67"/>
      <c r="G1257" s="67"/>
    </row>
    <row r="1258">
      <c r="A1258" s="67"/>
      <c r="B1258" s="156"/>
      <c r="C1258" s="157"/>
      <c r="D1258" s="146"/>
      <c r="E1258" s="145"/>
      <c r="F1258" s="67"/>
      <c r="G1258" s="67"/>
    </row>
    <row r="1259">
      <c r="A1259" s="67"/>
      <c r="B1259" s="156"/>
      <c r="C1259" s="157"/>
      <c r="D1259" s="146"/>
      <c r="E1259" s="145"/>
      <c r="F1259" s="67"/>
      <c r="G1259" s="67"/>
    </row>
    <row r="1260">
      <c r="A1260" s="67"/>
      <c r="B1260" s="156"/>
      <c r="C1260" s="157"/>
      <c r="D1260" s="146"/>
      <c r="E1260" s="145"/>
      <c r="F1260" s="67"/>
      <c r="G1260" s="67"/>
    </row>
    <row r="1261">
      <c r="A1261" s="67"/>
      <c r="B1261" s="156"/>
      <c r="C1261" s="157"/>
      <c r="D1261" s="146"/>
      <c r="E1261" s="145"/>
      <c r="F1261" s="67"/>
      <c r="G1261" s="67"/>
    </row>
    <row r="1262">
      <c r="A1262" s="67"/>
      <c r="B1262" s="156"/>
      <c r="C1262" s="157"/>
      <c r="D1262" s="146"/>
      <c r="E1262" s="145"/>
      <c r="F1262" s="67"/>
      <c r="G1262" s="67"/>
    </row>
    <row r="1263">
      <c r="A1263" s="67"/>
      <c r="B1263" s="156"/>
      <c r="C1263" s="157"/>
      <c r="D1263" s="146"/>
      <c r="E1263" s="145"/>
      <c r="F1263" s="67"/>
      <c r="G1263" s="67"/>
    </row>
    <row r="1264">
      <c r="A1264" s="67"/>
      <c r="B1264" s="156"/>
      <c r="C1264" s="157"/>
      <c r="D1264" s="146"/>
      <c r="E1264" s="145"/>
      <c r="F1264" s="67"/>
      <c r="G1264" s="67"/>
    </row>
    <row r="1265">
      <c r="A1265" s="67"/>
      <c r="B1265" s="156"/>
      <c r="C1265" s="157"/>
      <c r="D1265" s="146"/>
      <c r="E1265" s="145"/>
      <c r="F1265" s="67"/>
      <c r="G1265" s="67"/>
    </row>
    <row r="1266">
      <c r="A1266" s="67"/>
      <c r="B1266" s="156"/>
      <c r="C1266" s="157"/>
      <c r="D1266" s="146"/>
      <c r="E1266" s="145"/>
      <c r="F1266" s="67"/>
      <c r="G1266" s="67"/>
    </row>
    <row r="1267">
      <c r="A1267" s="67"/>
      <c r="B1267" s="156"/>
      <c r="C1267" s="157"/>
      <c r="D1267" s="146"/>
      <c r="E1267" s="145"/>
      <c r="F1267" s="67"/>
      <c r="G1267" s="67"/>
    </row>
    <row r="1268">
      <c r="A1268" s="67"/>
      <c r="B1268" s="156"/>
      <c r="C1268" s="157"/>
      <c r="D1268" s="146"/>
      <c r="E1268" s="145"/>
      <c r="F1268" s="67"/>
      <c r="G1268" s="67"/>
    </row>
    <row r="1269">
      <c r="A1269" s="67"/>
      <c r="B1269" s="156"/>
      <c r="C1269" s="157"/>
      <c r="D1269" s="146"/>
      <c r="E1269" s="145"/>
      <c r="F1269" s="67"/>
      <c r="G1269" s="67"/>
    </row>
    <row r="1270">
      <c r="A1270" s="67"/>
      <c r="B1270" s="156"/>
      <c r="C1270" s="157"/>
      <c r="D1270" s="146"/>
      <c r="E1270" s="145"/>
      <c r="F1270" s="67"/>
      <c r="G1270" s="67"/>
    </row>
    <row r="1271">
      <c r="A1271" s="67"/>
      <c r="B1271" s="156"/>
      <c r="C1271" s="157"/>
      <c r="D1271" s="146"/>
      <c r="E1271" s="145"/>
      <c r="F1271" s="67"/>
      <c r="G1271" s="67"/>
    </row>
    <row r="1272">
      <c r="A1272" s="67"/>
      <c r="B1272" s="156"/>
      <c r="C1272" s="157"/>
      <c r="D1272" s="146"/>
      <c r="E1272" s="145"/>
      <c r="F1272" s="67"/>
      <c r="G1272" s="67"/>
    </row>
    <row r="1273">
      <c r="A1273" s="67"/>
      <c r="B1273" s="156"/>
      <c r="C1273" s="157"/>
      <c r="D1273" s="146"/>
      <c r="E1273" s="145"/>
      <c r="F1273" s="67"/>
      <c r="G1273" s="67"/>
    </row>
    <row r="1274">
      <c r="A1274" s="67"/>
      <c r="B1274" s="156"/>
      <c r="C1274" s="157"/>
      <c r="D1274" s="146"/>
      <c r="E1274" s="145"/>
      <c r="F1274" s="67"/>
      <c r="G1274" s="67"/>
    </row>
    <row r="1275">
      <c r="A1275" s="67"/>
      <c r="B1275" s="156"/>
      <c r="C1275" s="157"/>
      <c r="D1275" s="146"/>
      <c r="E1275" s="145"/>
      <c r="F1275" s="67"/>
      <c r="G1275" s="67"/>
    </row>
    <row r="1276">
      <c r="A1276" s="67"/>
      <c r="B1276" s="156"/>
      <c r="C1276" s="157"/>
      <c r="D1276" s="146"/>
      <c r="E1276" s="145"/>
      <c r="F1276" s="67"/>
      <c r="G1276" s="67"/>
    </row>
    <row r="1277">
      <c r="A1277" s="67"/>
      <c r="B1277" s="156"/>
      <c r="C1277" s="157"/>
      <c r="D1277" s="146"/>
      <c r="E1277" s="145"/>
      <c r="F1277" s="67"/>
      <c r="G1277" s="67"/>
    </row>
    <row r="1278">
      <c r="A1278" s="67"/>
      <c r="B1278" s="156"/>
      <c r="C1278" s="157"/>
      <c r="D1278" s="146"/>
      <c r="E1278" s="145"/>
      <c r="F1278" s="67"/>
      <c r="G1278" s="67"/>
    </row>
    <row r="1279">
      <c r="A1279" s="67"/>
      <c r="B1279" s="156"/>
      <c r="C1279" s="157"/>
      <c r="D1279" s="146"/>
      <c r="E1279" s="145"/>
      <c r="F1279" s="67"/>
      <c r="G1279" s="67"/>
    </row>
    <row r="1280">
      <c r="A1280" s="67"/>
      <c r="B1280" s="156"/>
      <c r="C1280" s="157"/>
      <c r="D1280" s="146"/>
      <c r="E1280" s="145"/>
      <c r="F1280" s="67"/>
      <c r="G1280" s="67"/>
    </row>
    <row r="1281">
      <c r="A1281" s="67"/>
      <c r="B1281" s="156"/>
      <c r="C1281" s="157"/>
      <c r="D1281" s="146"/>
      <c r="E1281" s="145"/>
      <c r="F1281" s="67"/>
      <c r="G1281" s="67"/>
    </row>
    <row r="1282">
      <c r="A1282" s="67"/>
      <c r="B1282" s="156"/>
      <c r="C1282" s="157"/>
      <c r="D1282" s="146"/>
      <c r="E1282" s="145"/>
      <c r="F1282" s="67"/>
      <c r="G1282" s="67"/>
    </row>
    <row r="1283">
      <c r="A1283" s="67"/>
      <c r="B1283" s="156"/>
      <c r="C1283" s="157"/>
      <c r="D1283" s="146"/>
      <c r="E1283" s="145"/>
      <c r="F1283" s="67"/>
      <c r="G1283" s="67"/>
    </row>
    <row r="1284">
      <c r="A1284" s="67"/>
      <c r="B1284" s="156"/>
      <c r="C1284" s="157"/>
      <c r="D1284" s="146"/>
      <c r="E1284" s="145"/>
      <c r="F1284" s="67"/>
      <c r="G1284" s="67"/>
    </row>
    <row r="1285">
      <c r="A1285" s="67"/>
      <c r="B1285" s="156"/>
      <c r="C1285" s="157"/>
      <c r="D1285" s="146"/>
      <c r="E1285" s="145"/>
      <c r="F1285" s="67"/>
      <c r="G1285" s="67"/>
    </row>
    <row r="1286">
      <c r="A1286" s="67"/>
      <c r="B1286" s="156"/>
      <c r="C1286" s="157"/>
      <c r="D1286" s="146"/>
      <c r="E1286" s="145"/>
      <c r="F1286" s="67"/>
      <c r="G1286" s="67"/>
    </row>
    <row r="1287">
      <c r="A1287" s="67"/>
      <c r="B1287" s="156"/>
      <c r="C1287" s="157"/>
      <c r="D1287" s="146"/>
      <c r="E1287" s="145"/>
      <c r="F1287" s="67"/>
      <c r="G1287" s="67"/>
    </row>
    <row r="1288">
      <c r="A1288" s="67"/>
      <c r="B1288" s="156"/>
      <c r="C1288" s="157"/>
      <c r="D1288" s="146"/>
      <c r="E1288" s="145"/>
      <c r="F1288" s="67"/>
      <c r="G1288" s="67"/>
    </row>
    <row r="1289">
      <c r="A1289" s="67"/>
      <c r="B1289" s="156"/>
      <c r="C1289" s="157"/>
      <c r="D1289" s="146"/>
      <c r="E1289" s="145"/>
      <c r="F1289" s="67"/>
      <c r="G1289" s="67"/>
    </row>
    <row r="1290">
      <c r="A1290" s="67"/>
      <c r="B1290" s="156"/>
      <c r="C1290" s="157"/>
      <c r="D1290" s="146"/>
      <c r="E1290" s="145"/>
      <c r="F1290" s="67"/>
      <c r="G1290" s="67"/>
    </row>
    <row r="1291">
      <c r="A1291" s="67"/>
      <c r="B1291" s="156"/>
      <c r="C1291" s="157"/>
      <c r="D1291" s="146"/>
      <c r="E1291" s="145"/>
      <c r="F1291" s="67"/>
      <c r="G1291" s="67"/>
    </row>
    <row r="1292">
      <c r="A1292" s="67"/>
      <c r="B1292" s="156"/>
      <c r="C1292" s="157"/>
      <c r="D1292" s="146"/>
      <c r="E1292" s="145"/>
      <c r="F1292" s="67"/>
      <c r="G1292" s="67"/>
    </row>
    <row r="1293">
      <c r="A1293" s="67"/>
      <c r="B1293" s="156"/>
      <c r="C1293" s="157"/>
      <c r="D1293" s="146"/>
      <c r="E1293" s="145"/>
      <c r="F1293" s="67"/>
      <c r="G1293" s="67"/>
    </row>
  </sheetData>
  <mergeCells count="1">
    <mergeCell ref="A353:E353"/>
  </mergeCells>
  <conditionalFormatting sqref="A2:E1293">
    <cfRule type="expression" dxfId="4" priority="1">
      <formula>ISEVEN(QUOTIENT(ROW()-2, 5))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7.63"/>
    <col customWidth="1" min="2" max="2" width="17.0"/>
    <col customWidth="1" min="3" max="3" width="21.0"/>
    <col customWidth="1" min="4" max="4" width="22.0"/>
    <col customWidth="1" min="5" max="5" width="26.88"/>
    <col customWidth="1" min="6" max="6" width="19.5"/>
  </cols>
  <sheetData>
    <row r="1">
      <c r="A1" s="158" t="s">
        <v>691</v>
      </c>
      <c r="B1" s="159" t="s">
        <v>0</v>
      </c>
      <c r="C1" s="160" t="s">
        <v>718</v>
      </c>
      <c r="D1" s="161" t="s">
        <v>719</v>
      </c>
      <c r="E1" s="161" t="s">
        <v>720</v>
      </c>
      <c r="F1" s="161" t="s">
        <v>112</v>
      </c>
      <c r="G1" s="90"/>
      <c r="H1" s="90"/>
      <c r="I1" s="90"/>
      <c r="J1" s="90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162"/>
      <c r="B2" s="163"/>
      <c r="C2" s="141"/>
      <c r="D2" s="142"/>
      <c r="E2" s="142"/>
      <c r="F2" s="142"/>
      <c r="G2" s="81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162"/>
      <c r="B3" s="163"/>
      <c r="C3" s="141"/>
      <c r="D3" s="142"/>
      <c r="E3" s="142"/>
      <c r="F3" s="142"/>
      <c r="G3" s="81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162"/>
      <c r="B4" s="163"/>
      <c r="C4" s="141"/>
      <c r="D4" s="142"/>
      <c r="E4" s="142"/>
      <c r="F4" s="142"/>
      <c r="G4" s="81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162"/>
      <c r="B5" s="163"/>
      <c r="C5" s="141"/>
      <c r="D5" s="142"/>
      <c r="E5" s="142"/>
      <c r="F5" s="142"/>
      <c r="G5" s="81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162" t="s">
        <v>968</v>
      </c>
      <c r="B6" s="163">
        <v>46185.0</v>
      </c>
      <c r="C6" s="141" t="s">
        <v>969</v>
      </c>
      <c r="D6" s="142"/>
      <c r="E6" s="142">
        <v>10000.0</v>
      </c>
      <c r="F6" s="142"/>
      <c r="G6" s="81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162" t="s">
        <v>970</v>
      </c>
      <c r="B7" s="163">
        <v>46174.0</v>
      </c>
      <c r="C7" s="141" t="s">
        <v>969</v>
      </c>
      <c r="D7" s="142">
        <v>1508.6</v>
      </c>
      <c r="E7" s="142"/>
      <c r="F7" s="142"/>
      <c r="G7" s="81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162" t="s">
        <v>324</v>
      </c>
      <c r="B8" s="163">
        <v>46170.0</v>
      </c>
      <c r="C8" s="141" t="s">
        <v>969</v>
      </c>
      <c r="D8" s="142"/>
      <c r="E8" s="142"/>
      <c r="F8" s="142">
        <v>248.91</v>
      </c>
      <c r="G8" s="81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162" t="s">
        <v>971</v>
      </c>
      <c r="B9" s="163">
        <v>46167.0</v>
      </c>
      <c r="C9" s="141" t="s">
        <v>969</v>
      </c>
      <c r="D9" s="142">
        <v>72.96</v>
      </c>
      <c r="E9" s="142"/>
      <c r="F9" s="142"/>
      <c r="G9" s="81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162" t="s">
        <v>972</v>
      </c>
      <c r="B10" s="163">
        <v>46167.0</v>
      </c>
      <c r="C10" s="141" t="s">
        <v>969</v>
      </c>
      <c r="D10" s="142">
        <v>5000.0</v>
      </c>
      <c r="E10" s="142"/>
      <c r="F10" s="142"/>
      <c r="G10" s="81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162" t="s">
        <v>973</v>
      </c>
      <c r="B11" s="163">
        <v>46141.0</v>
      </c>
      <c r="C11" s="141" t="s">
        <v>969</v>
      </c>
      <c r="D11" s="142">
        <v>554.0</v>
      </c>
      <c r="E11" s="142"/>
      <c r="F11" s="142"/>
      <c r="G11" s="81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162" t="s">
        <v>971</v>
      </c>
      <c r="B12" s="163">
        <v>46141.0</v>
      </c>
      <c r="C12" s="141" t="s">
        <v>969</v>
      </c>
      <c r="D12" s="142">
        <v>67.43</v>
      </c>
      <c r="E12" s="142"/>
      <c r="F12" s="142"/>
      <c r="G12" s="81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162" t="s">
        <v>972</v>
      </c>
      <c r="B13" s="163">
        <v>46141.0</v>
      </c>
      <c r="C13" s="141" t="s">
        <v>969</v>
      </c>
      <c r="D13" s="142">
        <v>375.06</v>
      </c>
      <c r="E13" s="142"/>
      <c r="F13" s="142"/>
      <c r="G13" s="81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162" t="s">
        <v>324</v>
      </c>
      <c r="B14" s="163">
        <v>46140.0</v>
      </c>
      <c r="C14" s="141" t="s">
        <v>969</v>
      </c>
      <c r="D14" s="142"/>
      <c r="E14" s="142"/>
      <c r="F14" s="142">
        <v>261.53</v>
      </c>
      <c r="G14" s="81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162" t="s">
        <v>974</v>
      </c>
      <c r="B15" s="163">
        <v>46131.0</v>
      </c>
      <c r="C15" s="141" t="s">
        <v>969</v>
      </c>
      <c r="D15" s="142"/>
      <c r="E15" s="142">
        <f>2160+103.5</f>
        <v>2263.5</v>
      </c>
      <c r="F15" s="142"/>
      <c r="G15" s="81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162" t="s">
        <v>975</v>
      </c>
      <c r="B16" s="163">
        <v>46131.0</v>
      </c>
      <c r="C16" s="141" t="s">
        <v>969</v>
      </c>
      <c r="D16" s="142">
        <v>20174.27</v>
      </c>
      <c r="E16" s="142"/>
      <c r="F16" s="142"/>
      <c r="G16" s="81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162" t="s">
        <v>976</v>
      </c>
      <c r="B17" s="163">
        <v>46114.0</v>
      </c>
      <c r="C17" s="141" t="s">
        <v>969</v>
      </c>
      <c r="D17" s="142"/>
      <c r="E17" s="142">
        <v>15000.0</v>
      </c>
      <c r="F17" s="142"/>
      <c r="G17" s="81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162" t="s">
        <v>977</v>
      </c>
      <c r="B18" s="163">
        <v>46111.0</v>
      </c>
      <c r="C18" s="141" t="s">
        <v>969</v>
      </c>
      <c r="D18" s="142">
        <v>2242.0</v>
      </c>
      <c r="E18" s="142"/>
      <c r="F18" s="142"/>
      <c r="G18" s="81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162" t="s">
        <v>324</v>
      </c>
      <c r="B19" s="163">
        <v>46109.0</v>
      </c>
      <c r="C19" s="141" t="s">
        <v>969</v>
      </c>
      <c r="D19" s="142"/>
      <c r="E19" s="142"/>
      <c r="F19" s="142">
        <v>279.63</v>
      </c>
      <c r="G19" s="81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162" t="s">
        <v>978</v>
      </c>
      <c r="B20" s="163">
        <v>46111.0</v>
      </c>
      <c r="C20" s="141" t="s">
        <v>969</v>
      </c>
      <c r="D20" s="142">
        <v>3583.57</v>
      </c>
      <c r="E20" s="142"/>
      <c r="F20" s="142"/>
      <c r="G20" s="81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162" t="s">
        <v>979</v>
      </c>
      <c r="B21" s="163">
        <v>46111.0</v>
      </c>
      <c r="C21" s="141" t="s">
        <v>980</v>
      </c>
      <c r="D21" s="142"/>
      <c r="E21" s="142">
        <v>3583.57</v>
      </c>
      <c r="F21" s="142"/>
      <c r="G21" s="81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162" t="s">
        <v>981</v>
      </c>
      <c r="B22" s="163">
        <v>46109.0</v>
      </c>
      <c r="C22" s="141" t="s">
        <v>980</v>
      </c>
      <c r="D22" s="142"/>
      <c r="E22" s="142">
        <v>868.5</v>
      </c>
      <c r="F22" s="142"/>
      <c r="G22" s="81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162" t="s">
        <v>982</v>
      </c>
      <c r="B23" s="163">
        <v>46109.0</v>
      </c>
      <c r="C23" s="141" t="s">
        <v>980</v>
      </c>
      <c r="D23" s="142"/>
      <c r="E23" s="142">
        <v>500.0</v>
      </c>
      <c r="F23" s="142"/>
      <c r="G23" s="81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162" t="s">
        <v>983</v>
      </c>
      <c r="B24" s="163">
        <v>46108.0</v>
      </c>
      <c r="C24" s="141" t="s">
        <v>980</v>
      </c>
      <c r="D24" s="142">
        <v>2853.0</v>
      </c>
      <c r="E24" s="142"/>
      <c r="F24" s="142"/>
      <c r="G24" s="81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162" t="s">
        <v>972</v>
      </c>
      <c r="B25" s="163">
        <v>46106.0</v>
      </c>
      <c r="C25" s="141" t="s">
        <v>969</v>
      </c>
      <c r="D25" s="142">
        <v>11005.36</v>
      </c>
      <c r="E25" s="142"/>
      <c r="F25" s="142"/>
      <c r="G25" s="81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162" t="s">
        <v>971</v>
      </c>
      <c r="B26" s="163">
        <v>46104.0</v>
      </c>
      <c r="C26" s="141" t="s">
        <v>969</v>
      </c>
      <c r="D26" s="142">
        <v>124.87</v>
      </c>
      <c r="E26" s="142"/>
      <c r="F26" s="142"/>
      <c r="G26" s="81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162" t="s">
        <v>976</v>
      </c>
      <c r="B27" s="163">
        <v>46104.0</v>
      </c>
      <c r="C27" s="141" t="s">
        <v>969</v>
      </c>
      <c r="D27" s="142"/>
      <c r="E27" s="142">
        <v>15000.0</v>
      </c>
      <c r="F27" s="142"/>
      <c r="G27" s="81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162" t="s">
        <v>984</v>
      </c>
      <c r="B28" s="163">
        <v>46088.0</v>
      </c>
      <c r="C28" s="141" t="s">
        <v>985</v>
      </c>
      <c r="D28" s="142"/>
      <c r="E28" s="142">
        <v>500.0</v>
      </c>
      <c r="F28" s="142"/>
      <c r="G28" s="81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162" t="s">
        <v>986</v>
      </c>
      <c r="B29" s="163">
        <v>46083.0</v>
      </c>
      <c r="C29" s="141" t="s">
        <v>969</v>
      </c>
      <c r="D29" s="142">
        <v>242.65</v>
      </c>
      <c r="E29" s="142"/>
      <c r="F29" s="142"/>
      <c r="G29" s="81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162" t="s">
        <v>324</v>
      </c>
      <c r="B30" s="163">
        <v>46081.0</v>
      </c>
      <c r="C30" s="141" t="s">
        <v>969</v>
      </c>
      <c r="D30" s="142"/>
      <c r="E30" s="142"/>
      <c r="F30" s="142">
        <v>323.67</v>
      </c>
      <c r="G30" s="81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162" t="s">
        <v>972</v>
      </c>
      <c r="B31" s="163">
        <v>46078.0</v>
      </c>
      <c r="C31" s="141" t="s">
        <v>969</v>
      </c>
      <c r="D31" s="142">
        <v>700.0</v>
      </c>
      <c r="E31" s="142"/>
      <c r="F31" s="142"/>
      <c r="G31" s="81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162" t="s">
        <v>983</v>
      </c>
      <c r="B32" s="163">
        <v>46078.0</v>
      </c>
      <c r="C32" s="141" t="s">
        <v>980</v>
      </c>
      <c r="D32" s="142">
        <v>1088.36</v>
      </c>
      <c r="E32" s="142"/>
      <c r="F32" s="142"/>
      <c r="G32" s="81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162" t="s">
        <v>324</v>
      </c>
      <c r="B33" s="163">
        <v>46050.0</v>
      </c>
      <c r="C33" s="141" t="s">
        <v>969</v>
      </c>
      <c r="D33" s="142"/>
      <c r="E33" s="142"/>
      <c r="F33" s="142">
        <v>315.89</v>
      </c>
      <c r="G33" s="81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162" t="s">
        <v>987</v>
      </c>
      <c r="B34" s="163">
        <v>46047.0</v>
      </c>
      <c r="C34" s="141" t="s">
        <v>969</v>
      </c>
      <c r="D34" s="142">
        <v>232.63</v>
      </c>
      <c r="E34" s="142"/>
      <c r="F34" s="142"/>
      <c r="G34" s="81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162" t="s">
        <v>972</v>
      </c>
      <c r="B35" s="163">
        <v>46045.0</v>
      </c>
      <c r="C35" s="141" t="s">
        <v>969</v>
      </c>
      <c r="D35" s="142">
        <v>3000.0</v>
      </c>
      <c r="E35" s="142"/>
      <c r="F35" s="142"/>
      <c r="G35" s="81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162" t="s">
        <v>983</v>
      </c>
      <c r="B36" s="163">
        <v>46045.0</v>
      </c>
      <c r="C36" s="141" t="s">
        <v>980</v>
      </c>
      <c r="D36" s="142">
        <v>1200.0</v>
      </c>
      <c r="E36" s="142"/>
      <c r="F36" s="142"/>
      <c r="G36" s="81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162" t="s">
        <v>972</v>
      </c>
      <c r="B37" s="163">
        <v>46045.0</v>
      </c>
      <c r="C37" s="141" t="s">
        <v>969</v>
      </c>
      <c r="D37" s="142">
        <v>700.0</v>
      </c>
      <c r="E37" s="142"/>
      <c r="F37" s="142"/>
      <c r="G37" s="81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162" t="s">
        <v>983</v>
      </c>
      <c r="B38" s="163">
        <v>46045.0</v>
      </c>
      <c r="C38" s="141" t="s">
        <v>980</v>
      </c>
      <c r="D38" s="142">
        <v>5600.0</v>
      </c>
      <c r="E38" s="142"/>
      <c r="F38" s="142"/>
      <c r="G38" s="81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162" t="s">
        <v>988</v>
      </c>
      <c r="B39" s="163">
        <v>46045.0</v>
      </c>
      <c r="C39" s="141" t="s">
        <v>985</v>
      </c>
      <c r="D39" s="142">
        <v>500.0</v>
      </c>
      <c r="E39" s="142"/>
      <c r="F39" s="142"/>
      <c r="G39" s="81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162" t="s">
        <v>989</v>
      </c>
      <c r="B40" s="163">
        <v>46028.0</v>
      </c>
      <c r="C40" s="141" t="s">
        <v>980</v>
      </c>
      <c r="D40" s="142">
        <v>269.02</v>
      </c>
      <c r="E40" s="142"/>
      <c r="F40" s="142"/>
      <c r="G40" s="81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162" t="s">
        <v>990</v>
      </c>
      <c r="B41" s="163">
        <v>46024.0</v>
      </c>
      <c r="C41" s="141" t="s">
        <v>991</v>
      </c>
      <c r="D41" s="142"/>
      <c r="E41" s="142">
        <v>1000.0</v>
      </c>
      <c r="F41" s="142"/>
      <c r="G41" s="81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162" t="s">
        <v>992</v>
      </c>
      <c r="B42" s="163">
        <v>46017.0</v>
      </c>
      <c r="C42" s="141" t="s">
        <v>993</v>
      </c>
      <c r="D42" s="142"/>
      <c r="E42" s="142">
        <v>7059.63</v>
      </c>
      <c r="F42" s="142"/>
      <c r="G42" s="81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162" t="s">
        <v>994</v>
      </c>
      <c r="B43" s="163">
        <v>46019.0</v>
      </c>
      <c r="C43" s="141" t="s">
        <v>995</v>
      </c>
      <c r="D43" s="142"/>
      <c r="E43" s="164"/>
      <c r="F43" s="142">
        <f>177.87+0.09</f>
        <v>177.96</v>
      </c>
      <c r="G43" s="81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162" t="s">
        <v>972</v>
      </c>
      <c r="B44" s="163">
        <v>46016.0</v>
      </c>
      <c r="C44" s="141" t="s">
        <v>995</v>
      </c>
      <c r="D44" s="142">
        <v>25000.0</v>
      </c>
      <c r="E44" s="142"/>
      <c r="F44" s="142"/>
      <c r="G44" s="81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162" t="s">
        <v>972</v>
      </c>
      <c r="B45" s="163">
        <v>46016.0</v>
      </c>
      <c r="C45" s="141" t="s">
        <v>995</v>
      </c>
      <c r="D45" s="142">
        <v>1000.0</v>
      </c>
      <c r="E45" s="142"/>
      <c r="F45" s="142"/>
      <c r="G45" s="81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162" t="s">
        <v>986</v>
      </c>
      <c r="B46" s="163">
        <v>46014.0</v>
      </c>
      <c r="C46" s="141" t="s">
        <v>995</v>
      </c>
      <c r="D46" s="142">
        <v>30.05</v>
      </c>
      <c r="E46" s="142"/>
      <c r="F46" s="142"/>
      <c r="G46" s="81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162" t="s">
        <v>996</v>
      </c>
      <c r="B47" s="163">
        <v>46013.0</v>
      </c>
      <c r="C47" s="141" t="s">
        <v>995</v>
      </c>
      <c r="D47" s="142">
        <v>223.36</v>
      </c>
      <c r="E47" s="142"/>
      <c r="F47" s="142"/>
      <c r="G47" s="81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162" t="s">
        <v>324</v>
      </c>
      <c r="B48" s="163">
        <v>45989.0</v>
      </c>
      <c r="C48" s="141" t="s">
        <v>995</v>
      </c>
      <c r="D48" s="142">
        <v>162.03</v>
      </c>
      <c r="E48" s="142"/>
      <c r="F48" s="142"/>
      <c r="G48" s="81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162" t="s">
        <v>997</v>
      </c>
      <c r="B49" s="163">
        <v>45992.0</v>
      </c>
      <c r="C49" s="141" t="s">
        <v>995</v>
      </c>
      <c r="D49" s="142"/>
      <c r="E49" s="142">
        <v>1079.0</v>
      </c>
      <c r="F49" s="142"/>
      <c r="G49" s="81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162" t="s">
        <v>972</v>
      </c>
      <c r="B50" s="163">
        <v>45986.0</v>
      </c>
      <c r="C50" s="141" t="s">
        <v>995</v>
      </c>
      <c r="D50" s="142">
        <v>700.0</v>
      </c>
      <c r="E50" s="142"/>
      <c r="F50" s="142"/>
      <c r="G50" s="81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162" t="s">
        <v>971</v>
      </c>
      <c r="B51" s="163">
        <v>45986.0</v>
      </c>
      <c r="C51" s="141" t="s">
        <v>995</v>
      </c>
      <c r="D51" s="142">
        <v>62.07</v>
      </c>
      <c r="E51" s="142"/>
      <c r="F51" s="142"/>
      <c r="G51" s="81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162" t="s">
        <v>324</v>
      </c>
      <c r="B52" s="163">
        <v>45958.0</v>
      </c>
      <c r="C52" s="141" t="s">
        <v>995</v>
      </c>
      <c r="D52" s="142"/>
      <c r="E52" s="142"/>
      <c r="F52" s="142">
        <v>184.02</v>
      </c>
      <c r="G52" s="81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162" t="s">
        <v>971</v>
      </c>
      <c r="B53" s="163">
        <v>45954.0</v>
      </c>
      <c r="C53" s="141" t="s">
        <v>995</v>
      </c>
      <c r="D53" s="142">
        <v>64.69</v>
      </c>
      <c r="E53" s="142"/>
      <c r="F53" s="142"/>
      <c r="G53" s="81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162" t="s">
        <v>998</v>
      </c>
      <c r="B54" s="163">
        <v>45954.0</v>
      </c>
      <c r="C54" s="141" t="s">
        <v>995</v>
      </c>
      <c r="D54" s="142"/>
      <c r="E54" s="142">
        <v>2000.0</v>
      </c>
      <c r="F54" s="142"/>
      <c r="G54" s="81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162" t="s">
        <v>972</v>
      </c>
      <c r="B55" s="163">
        <v>45954.0</v>
      </c>
      <c r="C55" s="141" t="s">
        <v>995</v>
      </c>
      <c r="D55" s="142">
        <v>2000.0</v>
      </c>
      <c r="E55" s="142"/>
      <c r="F55" s="142"/>
      <c r="G55" s="81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162" t="s">
        <v>999</v>
      </c>
      <c r="B56" s="163">
        <v>45950.0</v>
      </c>
      <c r="C56" s="141" t="s">
        <v>995</v>
      </c>
      <c r="D56" s="142"/>
      <c r="E56" s="142">
        <v>10000.0</v>
      </c>
      <c r="F56" s="142"/>
      <c r="G56" s="81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162" t="s">
        <v>324</v>
      </c>
      <c r="B57" s="163">
        <v>45928.0</v>
      </c>
      <c r="C57" s="141" t="s">
        <v>995</v>
      </c>
      <c r="D57" s="142"/>
      <c r="E57" s="142"/>
      <c r="F57" s="142">
        <v>174.6</v>
      </c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162" t="s">
        <v>986</v>
      </c>
      <c r="B58" s="163">
        <v>45924.0</v>
      </c>
      <c r="C58" s="141" t="s">
        <v>995</v>
      </c>
      <c r="D58" s="142">
        <v>82.62</v>
      </c>
      <c r="E58" s="142"/>
      <c r="F58" s="142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162" t="s">
        <v>324</v>
      </c>
      <c r="B59" s="163">
        <v>45897.0</v>
      </c>
      <c r="C59" s="141" t="s">
        <v>995</v>
      </c>
      <c r="D59" s="142"/>
      <c r="E59" s="142"/>
      <c r="F59" s="142">
        <v>171.03</v>
      </c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162" t="s">
        <v>983</v>
      </c>
      <c r="B60" s="163">
        <v>45893.0</v>
      </c>
      <c r="C60" s="141" t="s">
        <v>993</v>
      </c>
      <c r="D60" s="142">
        <v>10000.0</v>
      </c>
      <c r="E60" s="142"/>
      <c r="F60" s="142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162" t="s">
        <v>971</v>
      </c>
      <c r="B61" s="163">
        <v>45893.0</v>
      </c>
      <c r="C61" s="141" t="s">
        <v>995</v>
      </c>
      <c r="D61" s="142">
        <v>54.43</v>
      </c>
      <c r="E61" s="142"/>
      <c r="F61" s="142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162" t="s">
        <v>1000</v>
      </c>
      <c r="B62" s="163">
        <v>45893.0</v>
      </c>
      <c r="C62" s="141" t="s">
        <v>995</v>
      </c>
      <c r="D62" s="142">
        <f>26989.07-10000-10000</f>
        <v>6989.07</v>
      </c>
      <c r="E62" s="142"/>
      <c r="F62" s="142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162" t="s">
        <v>1001</v>
      </c>
      <c r="B63" s="163">
        <v>45885.0</v>
      </c>
      <c r="C63" s="141" t="s">
        <v>995</v>
      </c>
      <c r="D63" s="142">
        <v>47.96</v>
      </c>
      <c r="E63" s="142"/>
      <c r="F63" s="142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162" t="s">
        <v>1002</v>
      </c>
      <c r="B64" s="163">
        <v>45882.0</v>
      </c>
      <c r="C64" s="141" t="s">
        <v>995</v>
      </c>
      <c r="D64" s="142"/>
      <c r="E64" s="142">
        <v>10000.0</v>
      </c>
      <c r="F64" s="142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162" t="s">
        <v>1003</v>
      </c>
      <c r="B65" s="163">
        <v>45877.0</v>
      </c>
      <c r="C65" s="141" t="s">
        <v>995</v>
      </c>
      <c r="D65" s="142"/>
      <c r="E65" s="142">
        <v>1889.0</v>
      </c>
      <c r="F65" s="142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162" t="s">
        <v>1004</v>
      </c>
      <c r="B66" s="163">
        <v>45866.0</v>
      </c>
      <c r="C66" s="141" t="s">
        <v>995</v>
      </c>
      <c r="D66" s="142"/>
      <c r="E66" s="142"/>
      <c r="F66" s="142">
        <v>175.81</v>
      </c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162" t="s">
        <v>1005</v>
      </c>
      <c r="B67" s="163">
        <v>45863.0</v>
      </c>
      <c r="C67" s="141" t="s">
        <v>995</v>
      </c>
      <c r="D67" s="142">
        <v>5573.36</v>
      </c>
      <c r="E67" s="142"/>
      <c r="F67" s="142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162" t="s">
        <v>986</v>
      </c>
      <c r="B68" s="163">
        <v>45862.0</v>
      </c>
      <c r="C68" s="141" t="s">
        <v>995</v>
      </c>
      <c r="D68" s="142">
        <v>17.55</v>
      </c>
      <c r="E68" s="142"/>
      <c r="F68" s="142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162" t="s">
        <v>218</v>
      </c>
      <c r="B69" s="163">
        <v>45862.0</v>
      </c>
      <c r="C69" s="141" t="s">
        <v>995</v>
      </c>
      <c r="D69" s="142">
        <v>500.0</v>
      </c>
      <c r="E69" s="142"/>
      <c r="F69" s="142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162" t="s">
        <v>350</v>
      </c>
      <c r="B70" s="163">
        <v>45839.0</v>
      </c>
      <c r="C70" s="141" t="s">
        <v>995</v>
      </c>
      <c r="D70" s="142"/>
      <c r="E70" s="142"/>
      <c r="F70" s="142">
        <f>0.09+1.98</f>
        <v>2.07</v>
      </c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162" t="s">
        <v>1004</v>
      </c>
      <c r="B71" s="163">
        <v>45836.0</v>
      </c>
      <c r="C71" s="141" t="s">
        <v>995</v>
      </c>
      <c r="D71" s="142"/>
      <c r="E71" s="142"/>
      <c r="F71" s="142">
        <v>194.69</v>
      </c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162" t="s">
        <v>1006</v>
      </c>
      <c r="B72" s="163">
        <v>45833.0</v>
      </c>
      <c r="C72" s="141" t="s">
        <v>995</v>
      </c>
      <c r="D72" s="142">
        <v>5020.0</v>
      </c>
      <c r="E72" s="142"/>
      <c r="F72" s="142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162" t="s">
        <v>971</v>
      </c>
      <c r="B73" s="163">
        <v>45831.0</v>
      </c>
      <c r="C73" s="141" t="s">
        <v>995</v>
      </c>
      <c r="D73" s="142">
        <v>56.75</v>
      </c>
      <c r="E73" s="142"/>
      <c r="F73" s="142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162" t="s">
        <v>996</v>
      </c>
      <c r="B74" s="163">
        <v>45828.0</v>
      </c>
      <c r="C74" s="141" t="s">
        <v>995</v>
      </c>
      <c r="D74" s="142"/>
      <c r="E74" s="142"/>
      <c r="F74" s="142">
        <v>180.03</v>
      </c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162" t="s">
        <v>324</v>
      </c>
      <c r="B75" s="163">
        <v>45805.0</v>
      </c>
      <c r="C75" s="141" t="s">
        <v>995</v>
      </c>
      <c r="D75" s="142"/>
      <c r="E75" s="142"/>
      <c r="F75" s="142">
        <v>196.23</v>
      </c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162" t="s">
        <v>1007</v>
      </c>
      <c r="B76" s="163">
        <v>45800.0</v>
      </c>
      <c r="C76" s="141" t="s">
        <v>995</v>
      </c>
      <c r="D76" s="142">
        <f>37.2+54</f>
        <v>91.2</v>
      </c>
      <c r="E76" s="142"/>
      <c r="F76" s="142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162" t="s">
        <v>218</v>
      </c>
      <c r="B77" s="163">
        <v>45800.0</v>
      </c>
      <c r="C77" s="141" t="s">
        <v>995</v>
      </c>
      <c r="D77" s="142">
        <v>500.0</v>
      </c>
      <c r="E77" s="142"/>
      <c r="F77" s="142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162" t="s">
        <v>1008</v>
      </c>
      <c r="B78" s="163">
        <v>45800.0</v>
      </c>
      <c r="C78" s="141" t="s">
        <v>995</v>
      </c>
      <c r="D78" s="142">
        <v>5089.0</v>
      </c>
      <c r="E78" s="142"/>
      <c r="F78" s="142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162" t="s">
        <v>1009</v>
      </c>
      <c r="B79" s="163">
        <v>45798.0</v>
      </c>
      <c r="C79" s="141" t="s">
        <v>995</v>
      </c>
      <c r="D79" s="142"/>
      <c r="E79" s="142">
        <v>10000.0</v>
      </c>
      <c r="F79" s="142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162" t="s">
        <v>1010</v>
      </c>
      <c r="B80" s="163">
        <v>45792.0</v>
      </c>
      <c r="C80" s="141" t="s">
        <v>995</v>
      </c>
      <c r="D80" s="142">
        <v>582.9</v>
      </c>
      <c r="E80" s="142"/>
      <c r="F80" s="142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162" t="s">
        <v>1001</v>
      </c>
      <c r="B81" s="163">
        <v>45792.0</v>
      </c>
      <c r="C81" s="141" t="s">
        <v>995</v>
      </c>
      <c r="D81" s="142">
        <f>77.67+19</f>
        <v>96.67</v>
      </c>
      <c r="E81" s="142"/>
      <c r="F81" s="142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162" t="s">
        <v>218</v>
      </c>
      <c r="B82" s="163">
        <v>45784.0</v>
      </c>
      <c r="C82" s="141" t="s">
        <v>995</v>
      </c>
      <c r="D82" s="142">
        <v>500.0</v>
      </c>
      <c r="E82" s="142"/>
      <c r="F82" s="142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162" t="s">
        <v>1011</v>
      </c>
      <c r="B83" s="163">
        <v>45779.0</v>
      </c>
      <c r="C83" s="141" t="s">
        <v>995</v>
      </c>
      <c r="D83" s="142"/>
      <c r="E83" s="142">
        <v>10000.0</v>
      </c>
      <c r="F83" s="142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162" t="s">
        <v>324</v>
      </c>
      <c r="B84" s="163">
        <v>45775.0</v>
      </c>
      <c r="C84" s="141" t="s">
        <v>995</v>
      </c>
      <c r="D84" s="142"/>
      <c r="E84" s="146"/>
      <c r="F84" s="142">
        <v>217.6</v>
      </c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162" t="s">
        <v>972</v>
      </c>
      <c r="B85" s="163">
        <v>45772.0</v>
      </c>
      <c r="C85" s="141" t="s">
        <v>995</v>
      </c>
      <c r="D85" s="142">
        <v>800.0</v>
      </c>
      <c r="E85" s="146"/>
      <c r="F85" s="146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162" t="s">
        <v>1012</v>
      </c>
      <c r="B86" s="163">
        <v>45770.0</v>
      </c>
      <c r="C86" s="141" t="s">
        <v>995</v>
      </c>
      <c r="D86" s="142">
        <f>57.05+36+0.67</f>
        <v>93.72</v>
      </c>
      <c r="E86" s="146"/>
      <c r="F86" s="146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162" t="s">
        <v>324</v>
      </c>
      <c r="B87" s="163">
        <v>45744.0</v>
      </c>
      <c r="C87" s="141" t="s">
        <v>995</v>
      </c>
      <c r="D87" s="146"/>
      <c r="E87" s="146"/>
      <c r="F87" s="142">
        <v>202.81</v>
      </c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162" t="s">
        <v>1013</v>
      </c>
      <c r="B88" s="163">
        <v>45741.0</v>
      </c>
      <c r="C88" s="141" t="s">
        <v>995</v>
      </c>
      <c r="D88" s="142">
        <v>750.0</v>
      </c>
      <c r="E88" s="146"/>
      <c r="F88" s="146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162" t="s">
        <v>972</v>
      </c>
      <c r="B89" s="163">
        <v>45741.0</v>
      </c>
      <c r="C89" s="141" t="s">
        <v>995</v>
      </c>
      <c r="D89" s="142">
        <v>305.5</v>
      </c>
      <c r="E89" s="146"/>
      <c r="F89" s="146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165" t="s">
        <v>971</v>
      </c>
      <c r="B90" s="166">
        <v>45740.0</v>
      </c>
      <c r="C90" s="167" t="s">
        <v>995</v>
      </c>
      <c r="D90" s="65">
        <v>328.85</v>
      </c>
      <c r="E90" s="73"/>
      <c r="F90" s="146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168" t="s">
        <v>971</v>
      </c>
      <c r="B91" s="169">
        <v>45720.0</v>
      </c>
      <c r="C91" s="170" t="s">
        <v>995</v>
      </c>
      <c r="D91" s="171">
        <v>17.75</v>
      </c>
      <c r="E91" s="171"/>
      <c r="F91" s="146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165" t="s">
        <v>324</v>
      </c>
      <c r="B92" s="169">
        <v>45716.0</v>
      </c>
      <c r="C92" s="167" t="s">
        <v>995</v>
      </c>
      <c r="D92" s="73"/>
      <c r="E92" s="73"/>
      <c r="F92" s="142">
        <v>279.26</v>
      </c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168" t="s">
        <v>1013</v>
      </c>
      <c r="B93" s="169">
        <v>45713.0</v>
      </c>
      <c r="C93" s="170" t="s">
        <v>995</v>
      </c>
      <c r="D93" s="171">
        <v>1000.0</v>
      </c>
      <c r="E93" s="171"/>
      <c r="F93" s="146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168" t="s">
        <v>1001</v>
      </c>
      <c r="B94" s="169">
        <v>45700.0</v>
      </c>
      <c r="C94" s="167" t="s">
        <v>995</v>
      </c>
      <c r="D94" s="73">
        <v>263.96</v>
      </c>
      <c r="E94" s="73"/>
      <c r="F94" s="146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165" t="s">
        <v>218</v>
      </c>
      <c r="B95" s="169">
        <v>45700.0</v>
      </c>
      <c r="C95" s="170" t="s">
        <v>1014</v>
      </c>
      <c r="D95" s="171">
        <v>500.0</v>
      </c>
      <c r="E95" s="171"/>
      <c r="F95" s="146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168" t="s">
        <v>1013</v>
      </c>
      <c r="B96" s="169">
        <v>45700.0</v>
      </c>
      <c r="C96" s="167" t="s">
        <v>1015</v>
      </c>
      <c r="D96" s="73">
        <v>200.0</v>
      </c>
      <c r="E96" s="73"/>
      <c r="F96" s="146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168" t="s">
        <v>1016</v>
      </c>
      <c r="B97" s="169">
        <v>45697.0</v>
      </c>
      <c r="C97" s="170" t="s">
        <v>993</v>
      </c>
      <c r="D97" s="171"/>
      <c r="E97" s="171">
        <v>10000.0</v>
      </c>
      <c r="F97" s="146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165" t="s">
        <v>324</v>
      </c>
      <c r="B98" s="169">
        <v>45685.0</v>
      </c>
      <c r="C98" s="167" t="s">
        <v>995</v>
      </c>
      <c r="D98" s="73"/>
      <c r="E98" s="73"/>
      <c r="F98" s="142">
        <v>294.49</v>
      </c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168" t="s">
        <v>1017</v>
      </c>
      <c r="B99" s="169">
        <v>45683.0</v>
      </c>
      <c r="C99" s="170" t="s">
        <v>1014</v>
      </c>
      <c r="D99" s="171"/>
      <c r="E99" s="171">
        <v>500.0</v>
      </c>
      <c r="F99" s="146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168" t="s">
        <v>1018</v>
      </c>
      <c r="B100" s="169">
        <v>45683.0</v>
      </c>
      <c r="C100" s="167" t="s">
        <v>995</v>
      </c>
      <c r="D100" s="73">
        <v>343.23</v>
      </c>
      <c r="E100" s="73"/>
      <c r="F100" s="146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165" t="s">
        <v>988</v>
      </c>
      <c r="B101" s="169">
        <v>45681.0</v>
      </c>
      <c r="C101" s="170" t="s">
        <v>1015</v>
      </c>
      <c r="D101" s="171">
        <v>300.0</v>
      </c>
      <c r="E101" s="171"/>
      <c r="F101" s="146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165" t="s">
        <v>1019</v>
      </c>
      <c r="B102" s="169">
        <v>45681.0</v>
      </c>
      <c r="C102" s="167" t="s">
        <v>995</v>
      </c>
      <c r="D102" s="73">
        <f>700+286.75</f>
        <v>986.75</v>
      </c>
      <c r="E102" s="73"/>
      <c r="F102" s="146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168" t="s">
        <v>1020</v>
      </c>
      <c r="B103" s="169">
        <v>45680.0</v>
      </c>
      <c r="C103" s="170" t="s">
        <v>995</v>
      </c>
      <c r="D103" s="171">
        <v>169.64</v>
      </c>
      <c r="E103" s="171"/>
      <c r="F103" s="146"/>
      <c r="G103" s="67"/>
      <c r="H103" s="67"/>
      <c r="I103" s="67"/>
      <c r="J103" s="67"/>
      <c r="K103" s="67"/>
      <c r="L103" s="90"/>
      <c r="M103" s="172"/>
      <c r="N103" s="172"/>
      <c r="O103" s="172"/>
      <c r="P103" s="173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165" t="s">
        <v>1021</v>
      </c>
      <c r="B104" s="169">
        <v>45678.0</v>
      </c>
      <c r="C104" s="167" t="s">
        <v>1014</v>
      </c>
      <c r="D104" s="73"/>
      <c r="E104" s="73">
        <v>57.99</v>
      </c>
      <c r="F104" s="146"/>
      <c r="G104" s="67"/>
      <c r="H104" s="67"/>
      <c r="I104" s="67"/>
      <c r="J104" s="67"/>
      <c r="K104" s="67"/>
      <c r="L104" s="90"/>
      <c r="M104" s="174"/>
      <c r="N104" s="174"/>
      <c r="O104" s="174"/>
      <c r="P104" s="175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165" t="s">
        <v>972</v>
      </c>
      <c r="B105" s="169">
        <v>45678.0</v>
      </c>
      <c r="C105" s="170" t="s">
        <v>995</v>
      </c>
      <c r="D105" s="171">
        <v>60.17</v>
      </c>
      <c r="E105" s="171"/>
      <c r="F105" s="146"/>
      <c r="G105" s="67"/>
      <c r="H105" s="67"/>
      <c r="I105" s="67"/>
      <c r="J105" s="67"/>
      <c r="K105" s="67"/>
      <c r="L105" s="90"/>
      <c r="M105" s="174"/>
      <c r="N105" s="174"/>
      <c r="O105" s="174"/>
      <c r="P105" s="175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165" t="s">
        <v>1022</v>
      </c>
      <c r="B106" s="169">
        <v>45657.0</v>
      </c>
      <c r="C106" s="167" t="s">
        <v>995</v>
      </c>
      <c r="D106" s="73"/>
      <c r="E106" s="73"/>
      <c r="F106" s="142">
        <v>151.23</v>
      </c>
      <c r="G106" s="67"/>
      <c r="H106" s="67"/>
      <c r="I106" s="67"/>
      <c r="J106" s="67"/>
      <c r="K106" s="67"/>
      <c r="L106" s="90"/>
      <c r="M106" s="174"/>
      <c r="N106" s="174"/>
      <c r="O106" s="174"/>
      <c r="P106" s="175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165" t="s">
        <v>988</v>
      </c>
      <c r="B107" s="169">
        <v>45671.0</v>
      </c>
      <c r="C107" s="170" t="s">
        <v>1015</v>
      </c>
      <c r="D107" s="171">
        <v>237.73</v>
      </c>
      <c r="E107" s="171"/>
      <c r="F107" s="146"/>
      <c r="G107" s="67"/>
      <c r="H107" s="67"/>
      <c r="I107" s="67"/>
      <c r="J107" s="67"/>
      <c r="K107" s="67"/>
      <c r="L107" s="90"/>
      <c r="M107" s="174"/>
      <c r="N107" s="174"/>
      <c r="O107" s="174"/>
      <c r="P107" s="175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156"/>
      <c r="C108" s="157"/>
      <c r="D108" s="146"/>
      <c r="E108" s="146"/>
      <c r="F108" s="146"/>
      <c r="G108" s="67"/>
      <c r="H108" s="67"/>
      <c r="I108" s="67"/>
      <c r="J108" s="67"/>
      <c r="K108" s="67"/>
      <c r="L108" s="90"/>
      <c r="M108" s="174"/>
      <c r="N108" s="174"/>
      <c r="O108" s="174"/>
      <c r="P108" s="175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156"/>
      <c r="C109" s="157"/>
      <c r="D109" s="146"/>
      <c r="E109" s="146"/>
      <c r="F109" s="146"/>
      <c r="G109" s="67"/>
      <c r="H109" s="67"/>
      <c r="I109" s="67"/>
      <c r="J109" s="67"/>
      <c r="K109" s="67"/>
      <c r="L109" s="90"/>
      <c r="M109" s="174"/>
      <c r="N109" s="174"/>
      <c r="O109" s="174"/>
      <c r="P109" s="175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156"/>
      <c r="C110" s="157"/>
      <c r="D110" s="146"/>
      <c r="E110" s="146"/>
      <c r="F110" s="146"/>
      <c r="G110" s="67"/>
      <c r="H110" s="67"/>
      <c r="I110" s="67"/>
      <c r="J110" s="67"/>
      <c r="K110" s="67"/>
      <c r="L110" s="90"/>
      <c r="M110" s="174"/>
      <c r="N110" s="174"/>
      <c r="O110" s="174"/>
      <c r="P110" s="175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156"/>
      <c r="C111" s="157"/>
      <c r="D111" s="146"/>
      <c r="E111" s="146"/>
      <c r="F111" s="146"/>
      <c r="G111" s="67"/>
      <c r="H111" s="67"/>
      <c r="I111" s="67"/>
      <c r="J111" s="67"/>
      <c r="K111" s="67"/>
      <c r="L111" s="90"/>
      <c r="M111" s="174"/>
      <c r="N111" s="174"/>
      <c r="O111" s="174"/>
      <c r="P111" s="175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156"/>
      <c r="C112" s="157"/>
      <c r="D112" s="146"/>
      <c r="E112" s="146"/>
      <c r="F112" s="146"/>
      <c r="G112" s="67"/>
      <c r="H112" s="67"/>
      <c r="I112" s="67"/>
      <c r="J112" s="67"/>
      <c r="K112" s="67"/>
      <c r="L112" s="90"/>
      <c r="M112" s="174"/>
      <c r="N112" s="174"/>
      <c r="O112" s="174"/>
      <c r="P112" s="175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156"/>
      <c r="C113" s="157"/>
      <c r="D113" s="146"/>
      <c r="E113" s="146"/>
      <c r="F113" s="146"/>
      <c r="G113" s="67"/>
      <c r="H113" s="67"/>
      <c r="I113" s="67"/>
      <c r="J113" s="67"/>
      <c r="K113" s="67"/>
      <c r="L113" s="90"/>
      <c r="M113" s="174"/>
      <c r="N113" s="174"/>
      <c r="O113" s="174"/>
      <c r="P113" s="175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156"/>
      <c r="C114" s="157"/>
      <c r="D114" s="146"/>
      <c r="E114" s="146"/>
      <c r="F114" s="146"/>
      <c r="G114" s="67"/>
      <c r="H114" s="67"/>
      <c r="I114" s="67"/>
      <c r="J114" s="67"/>
      <c r="K114" s="67"/>
      <c r="L114" s="90"/>
      <c r="M114" s="174"/>
      <c r="N114" s="174"/>
      <c r="O114" s="174"/>
      <c r="P114" s="175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156"/>
      <c r="C115" s="157"/>
      <c r="D115" s="146"/>
      <c r="E115" s="146"/>
      <c r="F115" s="146"/>
      <c r="G115" s="67"/>
      <c r="H115" s="67"/>
      <c r="I115" s="67"/>
      <c r="J115" s="67"/>
      <c r="K115" s="67"/>
      <c r="L115" s="90"/>
      <c r="M115" s="174"/>
      <c r="N115" s="174"/>
      <c r="O115" s="174"/>
      <c r="P115" s="175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156"/>
      <c r="C116" s="157"/>
      <c r="D116" s="146"/>
      <c r="E116" s="146"/>
      <c r="F116" s="146"/>
      <c r="G116" s="67"/>
      <c r="H116" s="67"/>
      <c r="I116" s="67"/>
      <c r="J116" s="67"/>
      <c r="K116" s="67"/>
      <c r="L116" s="90"/>
      <c r="M116" s="174"/>
      <c r="N116" s="174"/>
      <c r="O116" s="174"/>
      <c r="P116" s="175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156"/>
      <c r="C117" s="157"/>
      <c r="D117" s="146"/>
      <c r="E117" s="146"/>
      <c r="F117" s="146"/>
      <c r="G117" s="67"/>
      <c r="H117" s="67"/>
      <c r="I117" s="67"/>
      <c r="J117" s="67"/>
      <c r="K117" s="67"/>
      <c r="L117" s="90"/>
      <c r="M117" s="174"/>
      <c r="N117" s="174"/>
      <c r="O117" s="174"/>
      <c r="P117" s="175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156"/>
      <c r="C118" s="157"/>
      <c r="D118" s="146"/>
      <c r="E118" s="146"/>
      <c r="F118" s="146"/>
      <c r="G118" s="67"/>
      <c r="H118" s="67"/>
      <c r="I118" s="67"/>
      <c r="J118" s="67"/>
      <c r="K118" s="67"/>
      <c r="L118" s="90"/>
      <c r="M118" s="174"/>
      <c r="N118" s="174"/>
      <c r="O118" s="174"/>
      <c r="P118" s="175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156"/>
      <c r="C119" s="157"/>
      <c r="D119" s="146"/>
      <c r="E119" s="146"/>
      <c r="F119" s="146"/>
      <c r="G119" s="67"/>
      <c r="H119" s="67"/>
      <c r="I119" s="67"/>
      <c r="J119" s="67"/>
      <c r="K119" s="67"/>
      <c r="L119" s="90"/>
      <c r="M119" s="174"/>
      <c r="N119" s="174"/>
      <c r="O119" s="174"/>
      <c r="P119" s="175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156"/>
      <c r="C120" s="157"/>
      <c r="D120" s="146"/>
      <c r="E120" s="146"/>
      <c r="F120" s="146"/>
      <c r="G120" s="67"/>
      <c r="H120" s="67"/>
      <c r="I120" s="67"/>
      <c r="J120" s="67"/>
      <c r="K120" s="67"/>
      <c r="L120" s="90"/>
      <c r="M120" s="174"/>
      <c r="N120" s="174"/>
      <c r="O120" s="174"/>
      <c r="P120" s="175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156"/>
      <c r="C121" s="157"/>
      <c r="D121" s="146"/>
      <c r="E121" s="146"/>
      <c r="F121" s="146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156"/>
      <c r="C122" s="157"/>
      <c r="D122" s="146"/>
      <c r="E122" s="146"/>
      <c r="F122" s="146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156"/>
      <c r="C123" s="157"/>
      <c r="D123" s="146"/>
      <c r="E123" s="146"/>
      <c r="F123" s="146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156"/>
      <c r="C124" s="157"/>
      <c r="D124" s="146"/>
      <c r="E124" s="146"/>
      <c r="F124" s="146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156"/>
      <c r="C125" s="157"/>
      <c r="D125" s="146"/>
      <c r="E125" s="146"/>
      <c r="F125" s="146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156"/>
      <c r="C126" s="157"/>
      <c r="D126" s="146"/>
      <c r="E126" s="146"/>
      <c r="F126" s="146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156"/>
      <c r="C127" s="157"/>
      <c r="D127" s="146"/>
      <c r="E127" s="146"/>
      <c r="F127" s="146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156"/>
      <c r="C128" s="157"/>
      <c r="D128" s="146"/>
      <c r="E128" s="146"/>
      <c r="F128" s="146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156"/>
      <c r="C129" s="157"/>
      <c r="D129" s="146"/>
      <c r="E129" s="146"/>
      <c r="F129" s="146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156"/>
      <c r="C130" s="157"/>
      <c r="D130" s="146"/>
      <c r="E130" s="146"/>
      <c r="F130" s="146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156"/>
      <c r="C131" s="157"/>
      <c r="D131" s="146"/>
      <c r="E131" s="146"/>
      <c r="F131" s="146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156"/>
      <c r="C132" s="157"/>
      <c r="D132" s="146"/>
      <c r="E132" s="146"/>
      <c r="F132" s="146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156"/>
      <c r="C133" s="157"/>
      <c r="D133" s="146"/>
      <c r="E133" s="146"/>
      <c r="F133" s="146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156"/>
      <c r="C134" s="157"/>
      <c r="D134" s="146"/>
      <c r="E134" s="146"/>
      <c r="F134" s="146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156"/>
      <c r="C135" s="157"/>
      <c r="D135" s="146"/>
      <c r="E135" s="146"/>
      <c r="F135" s="146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156"/>
      <c r="C136" s="157"/>
      <c r="D136" s="146"/>
      <c r="E136" s="146"/>
      <c r="F136" s="146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156"/>
      <c r="C137" s="157"/>
      <c r="D137" s="146"/>
      <c r="E137" s="146"/>
      <c r="F137" s="146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156"/>
      <c r="C138" s="157"/>
      <c r="D138" s="146"/>
      <c r="E138" s="146"/>
      <c r="F138" s="146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156"/>
      <c r="C139" s="157"/>
      <c r="D139" s="146"/>
      <c r="E139" s="146"/>
      <c r="F139" s="146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156"/>
      <c r="C140" s="157"/>
      <c r="D140" s="146"/>
      <c r="E140" s="146"/>
      <c r="F140" s="146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156"/>
      <c r="C141" s="157"/>
      <c r="D141" s="146"/>
      <c r="E141" s="146"/>
      <c r="F141" s="146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156"/>
      <c r="C142" s="157"/>
      <c r="D142" s="146"/>
      <c r="E142" s="146"/>
      <c r="F142" s="146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156"/>
      <c r="C143" s="157"/>
      <c r="D143" s="146"/>
      <c r="E143" s="146"/>
      <c r="F143" s="146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156"/>
      <c r="C144" s="157"/>
      <c r="D144" s="146"/>
      <c r="E144" s="146"/>
      <c r="F144" s="146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156"/>
      <c r="C145" s="157"/>
      <c r="D145" s="146"/>
      <c r="E145" s="146"/>
      <c r="F145" s="146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156"/>
      <c r="C146" s="157"/>
      <c r="D146" s="146"/>
      <c r="E146" s="146"/>
      <c r="F146" s="146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156"/>
      <c r="C147" s="157"/>
      <c r="D147" s="146"/>
      <c r="E147" s="146"/>
      <c r="F147" s="146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156"/>
      <c r="C148" s="157"/>
      <c r="D148" s="146"/>
      <c r="E148" s="146"/>
      <c r="F148" s="146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156"/>
      <c r="C149" s="157"/>
      <c r="D149" s="146"/>
      <c r="E149" s="146"/>
      <c r="F149" s="146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156"/>
      <c r="C150" s="157"/>
      <c r="D150" s="146"/>
      <c r="E150" s="146"/>
      <c r="F150" s="146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156"/>
      <c r="C151" s="157"/>
      <c r="D151" s="146"/>
      <c r="E151" s="146"/>
      <c r="F151" s="146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156"/>
      <c r="C152" s="157"/>
      <c r="D152" s="146"/>
      <c r="E152" s="146"/>
      <c r="F152" s="146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156"/>
      <c r="C153" s="157"/>
      <c r="D153" s="146"/>
      <c r="E153" s="146"/>
      <c r="F153" s="146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156"/>
      <c r="C154" s="157"/>
      <c r="D154" s="146"/>
      <c r="E154" s="146"/>
      <c r="F154" s="146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156"/>
      <c r="C155" s="157"/>
      <c r="D155" s="146"/>
      <c r="E155" s="146"/>
      <c r="F155" s="146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156"/>
      <c r="C156" s="157"/>
      <c r="D156" s="146"/>
      <c r="E156" s="146"/>
      <c r="F156" s="146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156"/>
      <c r="C157" s="157"/>
      <c r="D157" s="146"/>
      <c r="E157" s="146"/>
      <c r="F157" s="146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156"/>
      <c r="C158" s="157"/>
      <c r="D158" s="146"/>
      <c r="E158" s="146"/>
      <c r="F158" s="146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156"/>
      <c r="C159" s="157"/>
      <c r="D159" s="146"/>
      <c r="E159" s="146"/>
      <c r="F159" s="146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156"/>
      <c r="C160" s="157"/>
      <c r="D160" s="146"/>
      <c r="E160" s="146"/>
      <c r="F160" s="146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156"/>
      <c r="C161" s="157"/>
      <c r="D161" s="146"/>
      <c r="E161" s="146"/>
      <c r="F161" s="146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156"/>
      <c r="C162" s="157"/>
      <c r="D162" s="146"/>
      <c r="E162" s="146"/>
      <c r="F162" s="146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156"/>
      <c r="C163" s="157"/>
      <c r="D163" s="146"/>
      <c r="E163" s="146"/>
      <c r="F163" s="146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156"/>
      <c r="C164" s="157"/>
      <c r="D164" s="146"/>
      <c r="E164" s="146"/>
      <c r="F164" s="146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156"/>
      <c r="C165" s="157"/>
      <c r="D165" s="146"/>
      <c r="E165" s="146"/>
      <c r="F165" s="146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156"/>
      <c r="C166" s="157"/>
      <c r="D166" s="146"/>
      <c r="E166" s="146"/>
      <c r="F166" s="146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156"/>
      <c r="C167" s="157"/>
      <c r="D167" s="146"/>
      <c r="E167" s="146"/>
      <c r="F167" s="146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156"/>
      <c r="C168" s="157"/>
      <c r="D168" s="146"/>
      <c r="E168" s="146"/>
      <c r="F168" s="146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156"/>
      <c r="C169" s="157"/>
      <c r="D169" s="146"/>
      <c r="E169" s="146"/>
      <c r="F169" s="146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156"/>
      <c r="C170" s="157"/>
      <c r="D170" s="146"/>
      <c r="E170" s="146"/>
      <c r="F170" s="146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156"/>
      <c r="C171" s="157"/>
      <c r="D171" s="146"/>
      <c r="E171" s="146"/>
      <c r="F171" s="146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156"/>
      <c r="C172" s="157"/>
      <c r="D172" s="146"/>
      <c r="E172" s="146"/>
      <c r="F172" s="146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156"/>
      <c r="C173" s="157"/>
      <c r="D173" s="146"/>
      <c r="E173" s="146"/>
      <c r="F173" s="146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156"/>
      <c r="C174" s="157"/>
      <c r="D174" s="146"/>
      <c r="E174" s="146"/>
      <c r="F174" s="146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156"/>
      <c r="C175" s="157"/>
      <c r="D175" s="146"/>
      <c r="E175" s="146"/>
      <c r="F175" s="146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156"/>
      <c r="C176" s="157"/>
      <c r="D176" s="146"/>
      <c r="E176" s="146"/>
      <c r="F176" s="146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156"/>
      <c r="C177" s="157"/>
      <c r="D177" s="146"/>
      <c r="E177" s="146"/>
      <c r="F177" s="146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156"/>
      <c r="C178" s="157"/>
      <c r="D178" s="146"/>
      <c r="E178" s="146"/>
      <c r="F178" s="146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156"/>
      <c r="C179" s="157"/>
      <c r="D179" s="146"/>
      <c r="E179" s="146"/>
      <c r="F179" s="146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156"/>
      <c r="C180" s="157"/>
      <c r="D180" s="146"/>
      <c r="E180" s="146"/>
      <c r="F180" s="146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156"/>
      <c r="C181" s="157"/>
      <c r="D181" s="146"/>
      <c r="E181" s="146"/>
      <c r="F181" s="146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156"/>
      <c r="C182" s="157"/>
      <c r="D182" s="146"/>
      <c r="E182" s="146"/>
      <c r="F182" s="146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156"/>
      <c r="C183" s="157"/>
      <c r="D183" s="146"/>
      <c r="E183" s="146"/>
      <c r="F183" s="146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156"/>
      <c r="C184" s="157"/>
      <c r="D184" s="146"/>
      <c r="E184" s="146"/>
      <c r="F184" s="146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156"/>
      <c r="C185" s="157"/>
      <c r="D185" s="146"/>
      <c r="E185" s="146"/>
      <c r="F185" s="146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156"/>
      <c r="C186" s="157"/>
      <c r="D186" s="146"/>
      <c r="E186" s="146"/>
      <c r="F186" s="146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156"/>
      <c r="C187" s="157"/>
      <c r="D187" s="146"/>
      <c r="E187" s="146"/>
      <c r="F187" s="146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156"/>
      <c r="C188" s="157"/>
      <c r="D188" s="146"/>
      <c r="E188" s="146"/>
      <c r="F188" s="146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156"/>
      <c r="C189" s="157"/>
      <c r="D189" s="146"/>
      <c r="E189" s="146"/>
      <c r="F189" s="146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156"/>
      <c r="C190" s="157"/>
      <c r="D190" s="146"/>
      <c r="E190" s="146"/>
      <c r="F190" s="146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156"/>
      <c r="C191" s="157"/>
      <c r="D191" s="146"/>
      <c r="E191" s="146"/>
      <c r="F191" s="146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156"/>
      <c r="C192" s="157"/>
      <c r="D192" s="146"/>
      <c r="E192" s="146"/>
      <c r="F192" s="146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156"/>
      <c r="C193" s="157"/>
      <c r="D193" s="146"/>
      <c r="E193" s="146"/>
      <c r="F193" s="146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156"/>
      <c r="C194" s="157"/>
      <c r="D194" s="146"/>
      <c r="E194" s="146"/>
      <c r="F194" s="146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156"/>
      <c r="C195" s="157"/>
      <c r="D195" s="146"/>
      <c r="E195" s="146"/>
      <c r="F195" s="146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156"/>
      <c r="C196" s="157"/>
      <c r="D196" s="146"/>
      <c r="E196" s="146"/>
      <c r="F196" s="146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156"/>
      <c r="C197" s="157"/>
      <c r="D197" s="146"/>
      <c r="E197" s="146"/>
      <c r="F197" s="146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156"/>
      <c r="C198" s="157"/>
      <c r="D198" s="146"/>
      <c r="E198" s="146"/>
      <c r="F198" s="146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156"/>
      <c r="C199" s="157"/>
      <c r="D199" s="146"/>
      <c r="E199" s="146"/>
      <c r="F199" s="146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156"/>
      <c r="C200" s="157"/>
      <c r="D200" s="146"/>
      <c r="E200" s="146"/>
      <c r="F200" s="146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156"/>
      <c r="C201" s="157"/>
      <c r="D201" s="146"/>
      <c r="E201" s="146"/>
      <c r="F201" s="146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156"/>
      <c r="C202" s="157"/>
      <c r="D202" s="146"/>
      <c r="E202" s="146"/>
      <c r="F202" s="146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156"/>
      <c r="C203" s="157"/>
      <c r="D203" s="146"/>
      <c r="E203" s="146"/>
      <c r="F203" s="146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156"/>
      <c r="C204" s="157"/>
      <c r="D204" s="146"/>
      <c r="E204" s="146"/>
      <c r="F204" s="146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156"/>
      <c r="C205" s="157"/>
      <c r="D205" s="146"/>
      <c r="E205" s="146"/>
      <c r="F205" s="146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156"/>
      <c r="C206" s="157"/>
      <c r="D206" s="146"/>
      <c r="E206" s="146"/>
      <c r="F206" s="146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156"/>
      <c r="C207" s="157"/>
      <c r="D207" s="146"/>
      <c r="E207" s="146"/>
      <c r="F207" s="146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156"/>
      <c r="C208" s="157"/>
      <c r="D208" s="146"/>
      <c r="E208" s="146"/>
      <c r="F208" s="146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156"/>
      <c r="C209" s="157"/>
      <c r="D209" s="146"/>
      <c r="E209" s="146"/>
      <c r="F209" s="146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156"/>
      <c r="C210" s="157"/>
      <c r="D210" s="146"/>
      <c r="E210" s="146"/>
      <c r="F210" s="146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156"/>
      <c r="C211" s="157"/>
      <c r="D211" s="146"/>
      <c r="E211" s="146"/>
      <c r="F211" s="146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156"/>
      <c r="C212" s="157"/>
      <c r="D212" s="146"/>
      <c r="E212" s="146"/>
      <c r="F212" s="146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156"/>
      <c r="C213" s="157"/>
      <c r="D213" s="146"/>
      <c r="E213" s="146"/>
      <c r="F213" s="146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156"/>
      <c r="C214" s="157"/>
      <c r="D214" s="146"/>
      <c r="E214" s="146"/>
      <c r="F214" s="146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156"/>
      <c r="C215" s="157"/>
      <c r="D215" s="146"/>
      <c r="E215" s="146"/>
      <c r="F215" s="146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156"/>
      <c r="C216" s="157"/>
      <c r="D216" s="146"/>
      <c r="E216" s="146"/>
      <c r="F216" s="146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156"/>
      <c r="C217" s="157"/>
      <c r="D217" s="146"/>
      <c r="E217" s="146"/>
      <c r="F217" s="146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156"/>
      <c r="C218" s="157"/>
      <c r="D218" s="146"/>
      <c r="E218" s="146"/>
      <c r="F218" s="146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156"/>
      <c r="C219" s="157"/>
      <c r="D219" s="146"/>
      <c r="E219" s="146"/>
      <c r="F219" s="146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156"/>
      <c r="C220" s="157"/>
      <c r="D220" s="146"/>
      <c r="E220" s="146"/>
      <c r="F220" s="146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156"/>
      <c r="C221" s="157"/>
      <c r="D221" s="146"/>
      <c r="E221" s="146"/>
      <c r="F221" s="146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156"/>
      <c r="C222" s="157"/>
      <c r="D222" s="146"/>
      <c r="E222" s="146"/>
      <c r="F222" s="146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156"/>
      <c r="C223" s="157"/>
      <c r="D223" s="146"/>
      <c r="E223" s="146"/>
      <c r="F223" s="146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156"/>
      <c r="C224" s="157"/>
      <c r="D224" s="146"/>
      <c r="E224" s="146"/>
      <c r="F224" s="146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156"/>
      <c r="C225" s="157"/>
      <c r="D225" s="146"/>
      <c r="E225" s="146"/>
      <c r="F225" s="146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156"/>
      <c r="C226" s="157"/>
      <c r="D226" s="146"/>
      <c r="E226" s="146"/>
      <c r="F226" s="146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156"/>
      <c r="C227" s="157"/>
      <c r="D227" s="146"/>
      <c r="E227" s="146"/>
      <c r="F227" s="146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156"/>
      <c r="C228" s="157"/>
      <c r="D228" s="146"/>
      <c r="E228" s="146"/>
      <c r="F228" s="146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156"/>
      <c r="C229" s="157"/>
      <c r="D229" s="146"/>
      <c r="E229" s="146"/>
      <c r="F229" s="146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156"/>
      <c r="C230" s="157"/>
      <c r="D230" s="146"/>
      <c r="E230" s="146"/>
      <c r="F230" s="146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156"/>
      <c r="C231" s="157"/>
      <c r="D231" s="146"/>
      <c r="E231" s="146"/>
      <c r="F231" s="146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156"/>
      <c r="C232" s="157"/>
      <c r="D232" s="146"/>
      <c r="E232" s="146"/>
      <c r="F232" s="146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156"/>
      <c r="C233" s="157"/>
      <c r="D233" s="146"/>
      <c r="E233" s="146"/>
      <c r="F233" s="146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156"/>
      <c r="C234" s="157"/>
      <c r="D234" s="146"/>
      <c r="E234" s="146"/>
      <c r="F234" s="146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156"/>
      <c r="C235" s="157"/>
      <c r="D235" s="146"/>
      <c r="E235" s="146"/>
      <c r="F235" s="146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156"/>
      <c r="C236" s="157"/>
      <c r="D236" s="146"/>
      <c r="E236" s="146"/>
      <c r="F236" s="146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156"/>
      <c r="C237" s="157"/>
      <c r="D237" s="146"/>
      <c r="E237" s="146"/>
      <c r="F237" s="146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156"/>
      <c r="C238" s="157"/>
      <c r="D238" s="146"/>
      <c r="E238" s="146"/>
      <c r="F238" s="146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156"/>
      <c r="C239" s="157"/>
      <c r="D239" s="146"/>
      <c r="E239" s="146"/>
      <c r="F239" s="146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156"/>
      <c r="C240" s="157"/>
      <c r="D240" s="146"/>
      <c r="E240" s="146"/>
      <c r="F240" s="146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156"/>
      <c r="C241" s="157"/>
      <c r="D241" s="146"/>
      <c r="E241" s="146"/>
      <c r="F241" s="146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156"/>
      <c r="C242" s="157"/>
      <c r="D242" s="146"/>
      <c r="E242" s="146"/>
      <c r="F242" s="146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156"/>
      <c r="C243" s="157"/>
      <c r="D243" s="146"/>
      <c r="E243" s="146"/>
      <c r="F243" s="146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156"/>
      <c r="C244" s="157"/>
      <c r="D244" s="146"/>
      <c r="E244" s="146"/>
      <c r="F244" s="146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156"/>
      <c r="C245" s="157"/>
      <c r="D245" s="146"/>
      <c r="E245" s="146"/>
      <c r="F245" s="146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156"/>
      <c r="C246" s="157"/>
      <c r="D246" s="146"/>
      <c r="E246" s="146"/>
      <c r="F246" s="146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156"/>
      <c r="C247" s="157"/>
      <c r="D247" s="146"/>
      <c r="E247" s="146"/>
      <c r="F247" s="146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156"/>
      <c r="C248" s="157"/>
      <c r="D248" s="146"/>
      <c r="E248" s="146"/>
      <c r="F248" s="146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156"/>
      <c r="C249" s="157"/>
      <c r="D249" s="146"/>
      <c r="E249" s="146"/>
      <c r="F249" s="146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156"/>
      <c r="C250" s="157"/>
      <c r="D250" s="146"/>
      <c r="E250" s="146"/>
      <c r="F250" s="146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156"/>
      <c r="C251" s="157"/>
      <c r="D251" s="146"/>
      <c r="E251" s="146"/>
      <c r="F251" s="146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156"/>
      <c r="C252" s="157"/>
      <c r="D252" s="146"/>
      <c r="E252" s="146"/>
      <c r="F252" s="146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156"/>
      <c r="C253" s="157"/>
      <c r="D253" s="146"/>
      <c r="E253" s="146"/>
      <c r="F253" s="146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156"/>
      <c r="C254" s="157"/>
      <c r="D254" s="146"/>
      <c r="E254" s="146"/>
      <c r="F254" s="146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156"/>
      <c r="C255" s="157"/>
      <c r="D255" s="146"/>
      <c r="E255" s="146"/>
      <c r="F255" s="146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156"/>
      <c r="C256" s="157"/>
      <c r="D256" s="146"/>
      <c r="E256" s="146"/>
      <c r="F256" s="146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156"/>
      <c r="C257" s="157"/>
      <c r="D257" s="146"/>
      <c r="E257" s="146"/>
      <c r="F257" s="146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156"/>
      <c r="C258" s="157"/>
      <c r="D258" s="146"/>
      <c r="E258" s="146"/>
      <c r="F258" s="146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156"/>
      <c r="C259" s="157"/>
      <c r="D259" s="146"/>
      <c r="E259" s="146"/>
      <c r="F259" s="146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156"/>
      <c r="C260" s="157"/>
      <c r="D260" s="146"/>
      <c r="E260" s="146"/>
      <c r="F260" s="146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156"/>
      <c r="C261" s="157"/>
      <c r="D261" s="146"/>
      <c r="E261" s="146"/>
      <c r="F261" s="146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156"/>
      <c r="C262" s="157"/>
      <c r="D262" s="146"/>
      <c r="E262" s="146"/>
      <c r="F262" s="146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156"/>
      <c r="C263" s="157"/>
      <c r="D263" s="146"/>
      <c r="E263" s="146"/>
      <c r="F263" s="146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156"/>
      <c r="C264" s="157"/>
      <c r="D264" s="146"/>
      <c r="E264" s="146"/>
      <c r="F264" s="146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156"/>
      <c r="C265" s="157"/>
      <c r="D265" s="146"/>
      <c r="E265" s="146"/>
      <c r="F265" s="146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156"/>
      <c r="C266" s="157"/>
      <c r="D266" s="146"/>
      <c r="E266" s="146"/>
      <c r="F266" s="146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156"/>
      <c r="C267" s="157"/>
      <c r="D267" s="146"/>
      <c r="E267" s="146"/>
      <c r="F267" s="146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156"/>
      <c r="C268" s="157"/>
      <c r="D268" s="146"/>
      <c r="E268" s="146"/>
      <c r="F268" s="146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156"/>
      <c r="C269" s="157"/>
      <c r="D269" s="146"/>
      <c r="E269" s="146"/>
      <c r="F269" s="146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156"/>
      <c r="C270" s="157"/>
      <c r="D270" s="146"/>
      <c r="E270" s="146"/>
      <c r="F270" s="146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156"/>
      <c r="C271" s="157"/>
      <c r="D271" s="146"/>
      <c r="E271" s="146"/>
      <c r="F271" s="146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156"/>
      <c r="C272" s="157"/>
      <c r="D272" s="146"/>
      <c r="E272" s="146"/>
      <c r="F272" s="146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156"/>
      <c r="C273" s="157"/>
      <c r="D273" s="146"/>
      <c r="E273" s="146"/>
      <c r="F273" s="146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156"/>
      <c r="C274" s="157"/>
      <c r="D274" s="146"/>
      <c r="E274" s="146"/>
      <c r="F274" s="146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156"/>
      <c r="C275" s="157"/>
      <c r="D275" s="146"/>
      <c r="E275" s="146"/>
      <c r="F275" s="146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156"/>
      <c r="C276" s="157"/>
      <c r="D276" s="146"/>
      <c r="E276" s="146"/>
      <c r="F276" s="146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156"/>
      <c r="C277" s="157"/>
      <c r="D277" s="146"/>
      <c r="E277" s="146"/>
      <c r="F277" s="146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156"/>
      <c r="C278" s="157"/>
      <c r="D278" s="146"/>
      <c r="E278" s="146"/>
      <c r="F278" s="146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156"/>
      <c r="C279" s="157"/>
      <c r="D279" s="146"/>
      <c r="E279" s="146"/>
      <c r="F279" s="146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156"/>
      <c r="C280" s="157"/>
      <c r="D280" s="146"/>
      <c r="E280" s="146"/>
      <c r="F280" s="146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156"/>
      <c r="C281" s="157"/>
      <c r="D281" s="146"/>
      <c r="E281" s="146"/>
      <c r="F281" s="146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156"/>
      <c r="C282" s="157"/>
      <c r="D282" s="146"/>
      <c r="E282" s="146"/>
      <c r="F282" s="146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156"/>
      <c r="C283" s="157"/>
      <c r="D283" s="146"/>
      <c r="E283" s="146"/>
      <c r="F283" s="146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156"/>
      <c r="C284" s="157"/>
      <c r="D284" s="146"/>
      <c r="E284" s="146"/>
      <c r="F284" s="146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156"/>
      <c r="C285" s="157"/>
      <c r="D285" s="146"/>
      <c r="E285" s="146"/>
      <c r="F285" s="146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156"/>
      <c r="C286" s="157"/>
      <c r="D286" s="146"/>
      <c r="E286" s="146"/>
      <c r="F286" s="146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156"/>
      <c r="C287" s="157"/>
      <c r="D287" s="146"/>
      <c r="E287" s="146"/>
      <c r="F287" s="146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156"/>
      <c r="C288" s="157"/>
      <c r="D288" s="146"/>
      <c r="E288" s="146"/>
      <c r="F288" s="146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156"/>
      <c r="C289" s="157"/>
      <c r="D289" s="146"/>
      <c r="E289" s="146"/>
      <c r="F289" s="146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156"/>
      <c r="C290" s="157"/>
      <c r="D290" s="146"/>
      <c r="E290" s="146"/>
      <c r="F290" s="146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156"/>
      <c r="C291" s="157"/>
      <c r="D291" s="146"/>
      <c r="E291" s="146"/>
      <c r="F291" s="146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156"/>
      <c r="C292" s="157"/>
      <c r="D292" s="146"/>
      <c r="E292" s="146"/>
      <c r="F292" s="146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156"/>
      <c r="C293" s="157"/>
      <c r="D293" s="146"/>
      <c r="E293" s="146"/>
      <c r="F293" s="146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156"/>
      <c r="C294" s="157"/>
      <c r="D294" s="146"/>
      <c r="E294" s="146"/>
      <c r="F294" s="146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156"/>
      <c r="C295" s="157"/>
      <c r="D295" s="146"/>
      <c r="E295" s="146"/>
      <c r="F295" s="146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156"/>
      <c r="C296" s="157"/>
      <c r="D296" s="146"/>
      <c r="E296" s="146"/>
      <c r="F296" s="146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156"/>
      <c r="C297" s="157"/>
      <c r="D297" s="146"/>
      <c r="E297" s="146"/>
      <c r="F297" s="146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156"/>
      <c r="C298" s="157"/>
      <c r="D298" s="146"/>
      <c r="E298" s="146"/>
      <c r="F298" s="146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156"/>
      <c r="C299" s="157"/>
      <c r="D299" s="146"/>
      <c r="E299" s="146"/>
      <c r="F299" s="146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156"/>
      <c r="C300" s="157"/>
      <c r="D300" s="146"/>
      <c r="E300" s="146"/>
      <c r="F300" s="146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156"/>
      <c r="C301" s="157"/>
      <c r="D301" s="146"/>
      <c r="E301" s="146"/>
      <c r="F301" s="146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156"/>
      <c r="C302" s="157"/>
      <c r="D302" s="146"/>
      <c r="E302" s="146"/>
      <c r="F302" s="146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156"/>
      <c r="C303" s="157"/>
      <c r="D303" s="146"/>
      <c r="E303" s="146"/>
      <c r="F303" s="146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156"/>
      <c r="C304" s="157"/>
      <c r="D304" s="146"/>
      <c r="E304" s="146"/>
      <c r="F304" s="146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156"/>
      <c r="C305" s="157"/>
      <c r="D305" s="146"/>
      <c r="E305" s="146"/>
      <c r="F305" s="146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156"/>
      <c r="C306" s="157"/>
      <c r="D306" s="146"/>
      <c r="E306" s="146"/>
      <c r="F306" s="146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156"/>
      <c r="C307" s="157"/>
      <c r="D307" s="146"/>
      <c r="E307" s="146"/>
      <c r="F307" s="146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156"/>
      <c r="C308" s="157"/>
      <c r="D308" s="146"/>
      <c r="E308" s="146"/>
      <c r="F308" s="146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156"/>
      <c r="C309" s="157"/>
      <c r="D309" s="146"/>
      <c r="E309" s="146"/>
      <c r="F309" s="146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156"/>
      <c r="C310" s="157"/>
      <c r="D310" s="146"/>
      <c r="E310" s="146"/>
      <c r="F310" s="146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156"/>
      <c r="C311" s="157"/>
      <c r="D311" s="146"/>
      <c r="E311" s="146"/>
      <c r="F311" s="146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156"/>
      <c r="C312" s="157"/>
      <c r="D312" s="146"/>
      <c r="E312" s="146"/>
      <c r="F312" s="146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156"/>
      <c r="C313" s="157"/>
      <c r="D313" s="146"/>
      <c r="E313" s="146"/>
      <c r="F313" s="146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156"/>
      <c r="C314" s="157"/>
      <c r="D314" s="146"/>
      <c r="E314" s="146"/>
      <c r="F314" s="146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156"/>
      <c r="C315" s="157"/>
      <c r="D315" s="146"/>
      <c r="E315" s="146"/>
      <c r="F315" s="146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156"/>
      <c r="C316" s="157"/>
      <c r="D316" s="146"/>
      <c r="E316" s="146"/>
      <c r="F316" s="146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156"/>
      <c r="C317" s="157"/>
      <c r="D317" s="146"/>
      <c r="E317" s="146"/>
      <c r="F317" s="146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156"/>
      <c r="C318" s="157"/>
      <c r="D318" s="146"/>
      <c r="E318" s="146"/>
      <c r="F318" s="146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156"/>
      <c r="C319" s="157"/>
      <c r="D319" s="146"/>
      <c r="E319" s="146"/>
      <c r="F319" s="146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156"/>
      <c r="C320" s="157"/>
      <c r="D320" s="146"/>
      <c r="E320" s="146"/>
      <c r="F320" s="146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156"/>
      <c r="C321" s="157"/>
      <c r="D321" s="146"/>
      <c r="E321" s="146"/>
      <c r="F321" s="146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156"/>
      <c r="C322" s="157"/>
      <c r="D322" s="146"/>
      <c r="E322" s="146"/>
      <c r="F322" s="146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156"/>
      <c r="C323" s="157"/>
      <c r="D323" s="146"/>
      <c r="E323" s="146"/>
      <c r="F323" s="146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156"/>
      <c r="C324" s="157"/>
      <c r="D324" s="146"/>
      <c r="E324" s="146"/>
      <c r="F324" s="146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156"/>
      <c r="C325" s="157"/>
      <c r="D325" s="146"/>
      <c r="E325" s="146"/>
      <c r="F325" s="146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156"/>
      <c r="C326" s="157"/>
      <c r="D326" s="146"/>
      <c r="E326" s="146"/>
      <c r="F326" s="146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156"/>
      <c r="C327" s="157"/>
      <c r="D327" s="146"/>
      <c r="E327" s="146"/>
      <c r="F327" s="146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156"/>
      <c r="C328" s="157"/>
      <c r="D328" s="146"/>
      <c r="E328" s="146"/>
      <c r="F328" s="146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156"/>
      <c r="C329" s="157"/>
      <c r="D329" s="146"/>
      <c r="E329" s="146"/>
      <c r="F329" s="146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156"/>
      <c r="C330" s="157"/>
      <c r="D330" s="146"/>
      <c r="E330" s="146"/>
      <c r="F330" s="146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156"/>
      <c r="C331" s="157"/>
      <c r="D331" s="146"/>
      <c r="E331" s="146"/>
      <c r="F331" s="146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156"/>
      <c r="C332" s="157"/>
      <c r="D332" s="146"/>
      <c r="E332" s="146"/>
      <c r="F332" s="146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156"/>
      <c r="C333" s="157"/>
      <c r="D333" s="146"/>
      <c r="E333" s="146"/>
      <c r="F333" s="146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156"/>
      <c r="C334" s="157"/>
      <c r="D334" s="146"/>
      <c r="E334" s="146"/>
      <c r="F334" s="146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156"/>
      <c r="C335" s="157"/>
      <c r="D335" s="146"/>
      <c r="E335" s="146"/>
      <c r="F335" s="146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156"/>
      <c r="C336" s="157"/>
      <c r="D336" s="146"/>
      <c r="E336" s="146"/>
      <c r="F336" s="146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156"/>
      <c r="C337" s="157"/>
      <c r="D337" s="146"/>
      <c r="E337" s="146"/>
      <c r="F337" s="146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156"/>
      <c r="C338" s="157"/>
      <c r="D338" s="146"/>
      <c r="E338" s="146"/>
      <c r="F338" s="146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156"/>
      <c r="C339" s="157"/>
      <c r="D339" s="146"/>
      <c r="E339" s="146"/>
      <c r="F339" s="146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156"/>
      <c r="C340" s="157"/>
      <c r="D340" s="146"/>
      <c r="E340" s="146"/>
      <c r="F340" s="146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156"/>
      <c r="C341" s="157"/>
      <c r="D341" s="146"/>
      <c r="E341" s="146"/>
      <c r="F341" s="146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156"/>
      <c r="C342" s="157"/>
      <c r="D342" s="146"/>
      <c r="E342" s="146"/>
      <c r="F342" s="146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156"/>
      <c r="C343" s="157"/>
      <c r="D343" s="146"/>
      <c r="E343" s="146"/>
      <c r="F343" s="146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156"/>
      <c r="C344" s="157"/>
      <c r="D344" s="146"/>
      <c r="E344" s="146"/>
      <c r="F344" s="146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156"/>
      <c r="C345" s="157"/>
      <c r="D345" s="146"/>
      <c r="E345" s="146"/>
      <c r="F345" s="146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156"/>
      <c r="C346" s="157"/>
      <c r="D346" s="146"/>
      <c r="E346" s="146"/>
      <c r="F346" s="146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156"/>
      <c r="C347" s="157"/>
      <c r="D347" s="146"/>
      <c r="E347" s="146"/>
      <c r="F347" s="146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156"/>
      <c r="C348" s="157"/>
      <c r="D348" s="146"/>
      <c r="E348" s="146"/>
      <c r="F348" s="146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156"/>
      <c r="C349" s="157"/>
      <c r="D349" s="146"/>
      <c r="E349" s="146"/>
      <c r="F349" s="146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156"/>
      <c r="C350" s="157"/>
      <c r="D350" s="146"/>
      <c r="E350" s="146"/>
      <c r="F350" s="146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156"/>
      <c r="C351" s="157"/>
      <c r="D351" s="146"/>
      <c r="E351" s="146"/>
      <c r="F351" s="146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156"/>
      <c r="C352" s="157"/>
      <c r="D352" s="146"/>
      <c r="E352" s="146"/>
      <c r="F352" s="146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156"/>
      <c r="C353" s="157"/>
      <c r="D353" s="146"/>
      <c r="E353" s="146"/>
      <c r="F353" s="146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156"/>
      <c r="C354" s="157"/>
      <c r="D354" s="146"/>
      <c r="E354" s="146"/>
      <c r="F354" s="146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156"/>
      <c r="C355" s="157"/>
      <c r="D355" s="146"/>
      <c r="E355" s="146"/>
      <c r="F355" s="146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156"/>
      <c r="C356" s="157"/>
      <c r="D356" s="146"/>
      <c r="E356" s="146"/>
      <c r="F356" s="146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156"/>
      <c r="C357" s="157"/>
      <c r="D357" s="146"/>
      <c r="E357" s="146"/>
      <c r="F357" s="146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156"/>
      <c r="C358" s="157"/>
      <c r="D358" s="146"/>
      <c r="E358" s="146"/>
      <c r="F358" s="146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156"/>
      <c r="C359" s="157"/>
      <c r="D359" s="146"/>
      <c r="E359" s="146"/>
      <c r="F359" s="146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156"/>
      <c r="C360" s="157"/>
      <c r="D360" s="146"/>
      <c r="E360" s="146"/>
      <c r="F360" s="146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156"/>
      <c r="C361" s="157"/>
      <c r="D361" s="146"/>
      <c r="E361" s="146"/>
      <c r="F361" s="146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156"/>
      <c r="C362" s="157"/>
      <c r="D362" s="146"/>
      <c r="E362" s="146"/>
      <c r="F362" s="146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156"/>
      <c r="C363" s="157"/>
      <c r="D363" s="146"/>
      <c r="E363" s="146"/>
      <c r="F363" s="146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156"/>
      <c r="C364" s="157"/>
      <c r="D364" s="146"/>
      <c r="E364" s="146"/>
      <c r="F364" s="146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156"/>
      <c r="C365" s="157"/>
      <c r="D365" s="146"/>
      <c r="E365" s="146"/>
      <c r="F365" s="146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156"/>
      <c r="C366" s="157"/>
      <c r="D366" s="146"/>
      <c r="E366" s="146"/>
      <c r="F366" s="146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156"/>
      <c r="C367" s="157"/>
      <c r="D367" s="146"/>
      <c r="E367" s="146"/>
      <c r="F367" s="146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156"/>
      <c r="C368" s="157"/>
      <c r="D368" s="146"/>
      <c r="E368" s="146"/>
      <c r="F368" s="146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156"/>
      <c r="C369" s="157"/>
      <c r="D369" s="146"/>
      <c r="E369" s="146"/>
      <c r="F369" s="146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156"/>
      <c r="C370" s="157"/>
      <c r="D370" s="146"/>
      <c r="E370" s="146"/>
      <c r="F370" s="146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156"/>
      <c r="C371" s="157"/>
      <c r="D371" s="146"/>
      <c r="E371" s="146"/>
      <c r="F371" s="146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156"/>
      <c r="C372" s="157"/>
      <c r="D372" s="146"/>
      <c r="E372" s="146"/>
      <c r="F372" s="146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156"/>
      <c r="C373" s="157"/>
      <c r="D373" s="146"/>
      <c r="E373" s="146"/>
      <c r="F373" s="146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156"/>
      <c r="C374" s="157"/>
      <c r="D374" s="146"/>
      <c r="E374" s="146"/>
      <c r="F374" s="146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156"/>
      <c r="C375" s="157"/>
      <c r="D375" s="146"/>
      <c r="E375" s="146"/>
      <c r="F375" s="146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156"/>
      <c r="C376" s="157"/>
      <c r="D376" s="146"/>
      <c r="E376" s="146"/>
      <c r="F376" s="146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156"/>
      <c r="C377" s="157"/>
      <c r="D377" s="146"/>
      <c r="E377" s="146"/>
      <c r="F377" s="146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156"/>
      <c r="C378" s="157"/>
      <c r="D378" s="146"/>
      <c r="E378" s="146"/>
      <c r="F378" s="146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156"/>
      <c r="C379" s="157"/>
      <c r="D379" s="146"/>
      <c r="E379" s="146"/>
      <c r="F379" s="146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156"/>
      <c r="C380" s="157"/>
      <c r="D380" s="146"/>
      <c r="E380" s="146"/>
      <c r="F380" s="146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156"/>
      <c r="C381" s="157"/>
      <c r="D381" s="146"/>
      <c r="E381" s="146"/>
      <c r="F381" s="146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156"/>
      <c r="C382" s="157"/>
      <c r="D382" s="146"/>
      <c r="E382" s="146"/>
      <c r="F382" s="146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156"/>
      <c r="C383" s="157"/>
      <c r="D383" s="146"/>
      <c r="E383" s="146"/>
      <c r="F383" s="146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156"/>
      <c r="C384" s="157"/>
      <c r="D384" s="146"/>
      <c r="E384" s="146"/>
      <c r="F384" s="146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156"/>
      <c r="C385" s="157"/>
      <c r="D385" s="146"/>
      <c r="E385" s="146"/>
      <c r="F385" s="146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156"/>
      <c r="C386" s="157"/>
      <c r="D386" s="146"/>
      <c r="E386" s="146"/>
      <c r="F386" s="146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156"/>
      <c r="C387" s="157"/>
      <c r="D387" s="146"/>
      <c r="E387" s="146"/>
      <c r="F387" s="146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156"/>
      <c r="C388" s="157"/>
      <c r="D388" s="146"/>
      <c r="E388" s="146"/>
      <c r="F388" s="146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156"/>
      <c r="C389" s="157"/>
      <c r="D389" s="146"/>
      <c r="E389" s="146"/>
      <c r="F389" s="146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156"/>
      <c r="C390" s="157"/>
      <c r="D390" s="146"/>
      <c r="E390" s="146"/>
      <c r="F390" s="146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156"/>
      <c r="C391" s="157"/>
      <c r="D391" s="146"/>
      <c r="E391" s="146"/>
      <c r="F391" s="146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156"/>
      <c r="C392" s="157"/>
      <c r="D392" s="146"/>
      <c r="E392" s="146"/>
      <c r="F392" s="146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156"/>
      <c r="C393" s="157"/>
      <c r="D393" s="146"/>
      <c r="E393" s="146"/>
      <c r="F393" s="146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156"/>
      <c r="C394" s="157"/>
      <c r="D394" s="146"/>
      <c r="E394" s="146"/>
      <c r="F394" s="146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156"/>
      <c r="C395" s="157"/>
      <c r="D395" s="146"/>
      <c r="E395" s="146"/>
      <c r="F395" s="146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156"/>
      <c r="C396" s="157"/>
      <c r="D396" s="146"/>
      <c r="E396" s="146"/>
      <c r="F396" s="146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156"/>
      <c r="C397" s="157"/>
      <c r="D397" s="146"/>
      <c r="E397" s="146"/>
      <c r="F397" s="146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156"/>
      <c r="C398" s="157"/>
      <c r="D398" s="146"/>
      <c r="E398" s="146"/>
      <c r="F398" s="146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156"/>
      <c r="C399" s="157"/>
      <c r="D399" s="146"/>
      <c r="E399" s="146"/>
      <c r="F399" s="146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156"/>
      <c r="C400" s="157"/>
      <c r="D400" s="146"/>
      <c r="E400" s="146"/>
      <c r="F400" s="146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156"/>
      <c r="C401" s="157"/>
      <c r="D401" s="146"/>
      <c r="E401" s="146"/>
      <c r="F401" s="146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156"/>
      <c r="C402" s="157"/>
      <c r="D402" s="146"/>
      <c r="E402" s="146"/>
      <c r="F402" s="146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156"/>
      <c r="C403" s="157"/>
      <c r="D403" s="146"/>
      <c r="E403" s="146"/>
      <c r="F403" s="146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156"/>
      <c r="C404" s="157"/>
      <c r="D404" s="146"/>
      <c r="E404" s="146"/>
      <c r="F404" s="146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156"/>
      <c r="C405" s="157"/>
      <c r="D405" s="146"/>
      <c r="E405" s="146"/>
      <c r="F405" s="146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156"/>
      <c r="C406" s="157"/>
      <c r="D406" s="146"/>
      <c r="E406" s="146"/>
      <c r="F406" s="146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156"/>
      <c r="C407" s="157"/>
      <c r="D407" s="146"/>
      <c r="E407" s="146"/>
      <c r="F407" s="146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156"/>
      <c r="C408" s="157"/>
      <c r="D408" s="146"/>
      <c r="E408" s="146"/>
      <c r="F408" s="146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156"/>
      <c r="C409" s="157"/>
      <c r="D409" s="146"/>
      <c r="E409" s="146"/>
      <c r="F409" s="146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156"/>
      <c r="C410" s="157"/>
      <c r="D410" s="146"/>
      <c r="E410" s="146"/>
      <c r="F410" s="146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156"/>
      <c r="C411" s="157"/>
      <c r="D411" s="146"/>
      <c r="E411" s="146"/>
      <c r="F411" s="146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156"/>
      <c r="C412" s="157"/>
      <c r="D412" s="146"/>
      <c r="E412" s="146"/>
      <c r="F412" s="146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156"/>
      <c r="C413" s="157"/>
      <c r="D413" s="146"/>
      <c r="E413" s="146"/>
      <c r="F413" s="146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156"/>
      <c r="C414" s="157"/>
      <c r="D414" s="146"/>
      <c r="E414" s="146"/>
      <c r="F414" s="146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156"/>
      <c r="C415" s="157"/>
      <c r="D415" s="146"/>
      <c r="E415" s="146"/>
      <c r="F415" s="146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156"/>
      <c r="C416" s="157"/>
      <c r="D416" s="146"/>
      <c r="E416" s="146"/>
      <c r="F416" s="146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156"/>
      <c r="C417" s="157"/>
      <c r="D417" s="146"/>
      <c r="E417" s="146"/>
      <c r="F417" s="146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156"/>
      <c r="C418" s="157"/>
      <c r="D418" s="146"/>
      <c r="E418" s="146"/>
      <c r="F418" s="146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156"/>
      <c r="C419" s="157"/>
      <c r="D419" s="146"/>
      <c r="E419" s="146"/>
      <c r="F419" s="146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156"/>
      <c r="C420" s="157"/>
      <c r="D420" s="146"/>
      <c r="E420" s="146"/>
      <c r="F420" s="146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156"/>
      <c r="C421" s="157"/>
      <c r="D421" s="146"/>
      <c r="E421" s="146"/>
      <c r="F421" s="146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156"/>
      <c r="C422" s="157"/>
      <c r="D422" s="146"/>
      <c r="E422" s="146"/>
      <c r="F422" s="146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156"/>
      <c r="C423" s="157"/>
      <c r="D423" s="146"/>
      <c r="E423" s="146"/>
      <c r="F423" s="146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156"/>
      <c r="C424" s="157"/>
      <c r="D424" s="146"/>
      <c r="E424" s="146"/>
      <c r="F424" s="146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156"/>
      <c r="C425" s="157"/>
      <c r="D425" s="146"/>
      <c r="E425" s="146"/>
      <c r="F425" s="146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156"/>
      <c r="C426" s="157"/>
      <c r="D426" s="146"/>
      <c r="E426" s="146"/>
      <c r="F426" s="146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156"/>
      <c r="C427" s="157"/>
      <c r="D427" s="146"/>
      <c r="E427" s="146"/>
      <c r="F427" s="146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156"/>
      <c r="C428" s="157"/>
      <c r="D428" s="146"/>
      <c r="E428" s="146"/>
      <c r="F428" s="146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156"/>
      <c r="C429" s="157"/>
      <c r="D429" s="146"/>
      <c r="E429" s="146"/>
      <c r="F429" s="146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156"/>
      <c r="C430" s="157"/>
      <c r="D430" s="146"/>
      <c r="E430" s="146"/>
      <c r="F430" s="146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156"/>
      <c r="C431" s="157"/>
      <c r="D431" s="146"/>
      <c r="E431" s="146"/>
      <c r="F431" s="146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156"/>
      <c r="C432" s="157"/>
      <c r="D432" s="146"/>
      <c r="E432" s="146"/>
      <c r="F432" s="146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156"/>
      <c r="C433" s="157"/>
      <c r="D433" s="146"/>
      <c r="E433" s="146"/>
      <c r="F433" s="146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156"/>
      <c r="C434" s="157"/>
      <c r="D434" s="146"/>
      <c r="E434" s="146"/>
      <c r="F434" s="146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156"/>
      <c r="C435" s="157"/>
      <c r="D435" s="146"/>
      <c r="E435" s="146"/>
      <c r="F435" s="146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156"/>
      <c r="C436" s="157"/>
      <c r="D436" s="146"/>
      <c r="E436" s="146"/>
      <c r="F436" s="146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156"/>
      <c r="C437" s="157"/>
      <c r="D437" s="146"/>
      <c r="E437" s="146"/>
      <c r="F437" s="146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156"/>
      <c r="C438" s="157"/>
      <c r="D438" s="146"/>
      <c r="E438" s="146"/>
      <c r="F438" s="146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156"/>
      <c r="C439" s="157"/>
      <c r="D439" s="146"/>
      <c r="E439" s="146"/>
      <c r="F439" s="146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156"/>
      <c r="C440" s="157"/>
      <c r="D440" s="146"/>
      <c r="E440" s="146"/>
      <c r="F440" s="146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156"/>
      <c r="C441" s="157"/>
      <c r="D441" s="146"/>
      <c r="E441" s="146"/>
      <c r="F441" s="146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156"/>
      <c r="C442" s="157"/>
      <c r="D442" s="146"/>
      <c r="E442" s="146"/>
      <c r="F442" s="146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156"/>
      <c r="C443" s="157"/>
      <c r="D443" s="146"/>
      <c r="E443" s="146"/>
      <c r="F443" s="146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156"/>
      <c r="C444" s="157"/>
      <c r="D444" s="146"/>
      <c r="E444" s="146"/>
      <c r="F444" s="146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156"/>
      <c r="C445" s="157"/>
      <c r="D445" s="146"/>
      <c r="E445" s="146"/>
      <c r="F445" s="146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156"/>
      <c r="C446" s="157"/>
      <c r="D446" s="146"/>
      <c r="E446" s="146"/>
      <c r="F446" s="146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156"/>
      <c r="C447" s="157"/>
      <c r="D447" s="146"/>
      <c r="E447" s="146"/>
      <c r="F447" s="146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156"/>
      <c r="C448" s="157"/>
      <c r="D448" s="146"/>
      <c r="E448" s="146"/>
      <c r="F448" s="146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156"/>
      <c r="C449" s="157"/>
      <c r="D449" s="146"/>
      <c r="E449" s="146"/>
      <c r="F449" s="146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156"/>
      <c r="C450" s="157"/>
      <c r="D450" s="146"/>
      <c r="E450" s="146"/>
      <c r="F450" s="146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156"/>
      <c r="C451" s="157"/>
      <c r="D451" s="146"/>
      <c r="E451" s="146"/>
      <c r="F451" s="146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156"/>
      <c r="C452" s="157"/>
      <c r="D452" s="146"/>
      <c r="E452" s="146"/>
      <c r="F452" s="146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156"/>
      <c r="C453" s="157"/>
      <c r="D453" s="146"/>
      <c r="E453" s="146"/>
      <c r="F453" s="146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156"/>
      <c r="C454" s="157"/>
      <c r="D454" s="146"/>
      <c r="E454" s="146"/>
      <c r="F454" s="146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156"/>
      <c r="C455" s="157"/>
      <c r="D455" s="146"/>
      <c r="E455" s="146"/>
      <c r="F455" s="146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156"/>
      <c r="C456" s="157"/>
      <c r="D456" s="146"/>
      <c r="E456" s="146"/>
      <c r="F456" s="146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156"/>
      <c r="C457" s="157"/>
      <c r="D457" s="146"/>
      <c r="E457" s="146"/>
      <c r="F457" s="146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156"/>
      <c r="C458" s="157"/>
      <c r="D458" s="146"/>
      <c r="E458" s="146"/>
      <c r="F458" s="146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156"/>
      <c r="C459" s="157"/>
      <c r="D459" s="146"/>
      <c r="E459" s="146"/>
      <c r="F459" s="146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156"/>
      <c r="C460" s="157"/>
      <c r="D460" s="146"/>
      <c r="E460" s="146"/>
      <c r="F460" s="146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156"/>
      <c r="C461" s="157"/>
      <c r="D461" s="146"/>
      <c r="E461" s="146"/>
      <c r="F461" s="146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156"/>
      <c r="C462" s="157"/>
      <c r="D462" s="146"/>
      <c r="E462" s="146"/>
      <c r="F462" s="146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156"/>
      <c r="C463" s="157"/>
      <c r="D463" s="146"/>
      <c r="E463" s="146"/>
      <c r="F463" s="146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156"/>
      <c r="C464" s="157"/>
      <c r="D464" s="146"/>
      <c r="E464" s="146"/>
      <c r="F464" s="146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156"/>
      <c r="C465" s="157"/>
      <c r="D465" s="146"/>
      <c r="E465" s="146"/>
      <c r="F465" s="146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156"/>
      <c r="C466" s="157"/>
      <c r="D466" s="146"/>
      <c r="E466" s="146"/>
      <c r="F466" s="146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156"/>
      <c r="C467" s="157"/>
      <c r="D467" s="146"/>
      <c r="E467" s="146"/>
      <c r="F467" s="146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156"/>
      <c r="C468" s="157"/>
      <c r="D468" s="146"/>
      <c r="E468" s="146"/>
      <c r="F468" s="146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156"/>
      <c r="C469" s="157"/>
      <c r="D469" s="146"/>
      <c r="E469" s="146"/>
      <c r="F469" s="146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156"/>
      <c r="C470" s="157"/>
      <c r="D470" s="146"/>
      <c r="E470" s="146"/>
      <c r="F470" s="146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156"/>
      <c r="C471" s="157"/>
      <c r="D471" s="146"/>
      <c r="E471" s="146"/>
      <c r="F471" s="146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156"/>
      <c r="C472" s="157"/>
      <c r="D472" s="146"/>
      <c r="E472" s="146"/>
      <c r="F472" s="146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156"/>
      <c r="C473" s="157"/>
      <c r="D473" s="146"/>
      <c r="E473" s="146"/>
      <c r="F473" s="146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156"/>
      <c r="C474" s="157"/>
      <c r="D474" s="146"/>
      <c r="E474" s="146"/>
      <c r="F474" s="146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156"/>
      <c r="C475" s="157"/>
      <c r="D475" s="146"/>
      <c r="E475" s="146"/>
      <c r="F475" s="146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156"/>
      <c r="C476" s="157"/>
      <c r="D476" s="146"/>
      <c r="E476" s="146"/>
      <c r="F476" s="146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156"/>
      <c r="C477" s="157"/>
      <c r="D477" s="146"/>
      <c r="E477" s="146"/>
      <c r="F477" s="146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156"/>
      <c r="C478" s="157"/>
      <c r="D478" s="146"/>
      <c r="E478" s="146"/>
      <c r="F478" s="146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156"/>
      <c r="C479" s="157"/>
      <c r="D479" s="146"/>
      <c r="E479" s="146"/>
      <c r="F479" s="146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156"/>
      <c r="C480" s="157"/>
      <c r="D480" s="146"/>
      <c r="E480" s="146"/>
      <c r="F480" s="146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156"/>
      <c r="C481" s="157"/>
      <c r="D481" s="146"/>
      <c r="E481" s="146"/>
      <c r="F481" s="146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156"/>
      <c r="C482" s="157"/>
      <c r="D482" s="146"/>
      <c r="E482" s="146"/>
      <c r="F482" s="146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156"/>
      <c r="C483" s="157"/>
      <c r="D483" s="146"/>
      <c r="E483" s="146"/>
      <c r="F483" s="146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156"/>
      <c r="C484" s="157"/>
      <c r="D484" s="146"/>
      <c r="E484" s="146"/>
      <c r="F484" s="146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156"/>
      <c r="C485" s="157"/>
      <c r="D485" s="146"/>
      <c r="E485" s="146"/>
      <c r="F485" s="146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156"/>
      <c r="C486" s="157"/>
      <c r="D486" s="146"/>
      <c r="E486" s="146"/>
      <c r="F486" s="146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156"/>
      <c r="C487" s="157"/>
      <c r="D487" s="146"/>
      <c r="E487" s="146"/>
      <c r="F487" s="146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156"/>
      <c r="C488" s="157"/>
      <c r="D488" s="146"/>
      <c r="E488" s="146"/>
      <c r="F488" s="146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156"/>
      <c r="C489" s="157"/>
      <c r="D489" s="146"/>
      <c r="E489" s="146"/>
      <c r="F489" s="146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156"/>
      <c r="C490" s="157"/>
      <c r="D490" s="146"/>
      <c r="E490" s="146"/>
      <c r="F490" s="146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156"/>
      <c r="C491" s="157"/>
      <c r="D491" s="146"/>
      <c r="E491" s="146"/>
      <c r="F491" s="146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156"/>
      <c r="C492" s="157"/>
      <c r="D492" s="146"/>
      <c r="E492" s="146"/>
      <c r="F492" s="146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156"/>
      <c r="C493" s="157"/>
      <c r="D493" s="146"/>
      <c r="E493" s="146"/>
      <c r="F493" s="146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156"/>
      <c r="C494" s="157"/>
      <c r="D494" s="146"/>
      <c r="E494" s="146"/>
      <c r="F494" s="146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156"/>
      <c r="C495" s="157"/>
      <c r="D495" s="146"/>
      <c r="E495" s="146"/>
      <c r="F495" s="146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156"/>
      <c r="C496" s="157"/>
      <c r="D496" s="146"/>
      <c r="E496" s="146"/>
      <c r="F496" s="146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156"/>
      <c r="C497" s="157"/>
      <c r="D497" s="146"/>
      <c r="E497" s="146"/>
      <c r="F497" s="146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156"/>
      <c r="C498" s="157"/>
      <c r="D498" s="146"/>
      <c r="E498" s="146"/>
      <c r="F498" s="146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156"/>
      <c r="C499" s="157"/>
      <c r="D499" s="146"/>
      <c r="E499" s="146"/>
      <c r="F499" s="146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156"/>
      <c r="C500" s="157"/>
      <c r="D500" s="146"/>
      <c r="E500" s="146"/>
      <c r="F500" s="146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156"/>
      <c r="C501" s="157"/>
      <c r="D501" s="146"/>
      <c r="E501" s="146"/>
      <c r="F501" s="146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156"/>
      <c r="C502" s="157"/>
      <c r="D502" s="146"/>
      <c r="E502" s="146"/>
      <c r="F502" s="146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156"/>
      <c r="C503" s="157"/>
      <c r="D503" s="146"/>
      <c r="E503" s="146"/>
      <c r="F503" s="146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156"/>
      <c r="C504" s="157"/>
      <c r="D504" s="146"/>
      <c r="E504" s="146"/>
      <c r="F504" s="146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156"/>
      <c r="C505" s="157"/>
      <c r="D505" s="146"/>
      <c r="E505" s="146"/>
      <c r="F505" s="146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156"/>
      <c r="C506" s="157"/>
      <c r="D506" s="146"/>
      <c r="E506" s="146"/>
      <c r="F506" s="146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156"/>
      <c r="C507" s="157"/>
      <c r="D507" s="146"/>
      <c r="E507" s="146"/>
      <c r="F507" s="146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156"/>
      <c r="C508" s="157"/>
      <c r="D508" s="146"/>
      <c r="E508" s="146"/>
      <c r="F508" s="146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156"/>
      <c r="C509" s="157"/>
      <c r="D509" s="146"/>
      <c r="E509" s="146"/>
      <c r="F509" s="146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156"/>
      <c r="C510" s="157"/>
      <c r="D510" s="146"/>
      <c r="E510" s="146"/>
      <c r="F510" s="146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156"/>
      <c r="C511" s="157"/>
      <c r="D511" s="146"/>
      <c r="E511" s="146"/>
      <c r="F511" s="146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156"/>
      <c r="C512" s="157"/>
      <c r="D512" s="146"/>
      <c r="E512" s="146"/>
      <c r="F512" s="146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156"/>
      <c r="C513" s="157"/>
      <c r="D513" s="146"/>
      <c r="E513" s="146"/>
      <c r="F513" s="146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156"/>
      <c r="C514" s="157"/>
      <c r="D514" s="146"/>
      <c r="E514" s="146"/>
      <c r="F514" s="146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156"/>
      <c r="C515" s="157"/>
      <c r="D515" s="146"/>
      <c r="E515" s="146"/>
      <c r="F515" s="146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156"/>
      <c r="C516" s="157"/>
      <c r="D516" s="146"/>
      <c r="E516" s="146"/>
      <c r="F516" s="146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156"/>
      <c r="C517" s="157"/>
      <c r="D517" s="146"/>
      <c r="E517" s="146"/>
      <c r="F517" s="146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156"/>
      <c r="C518" s="157"/>
      <c r="D518" s="146"/>
      <c r="E518" s="146"/>
      <c r="F518" s="146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156"/>
      <c r="C519" s="157"/>
      <c r="D519" s="146"/>
      <c r="E519" s="146"/>
      <c r="F519" s="146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156"/>
      <c r="C520" s="157"/>
      <c r="D520" s="146"/>
      <c r="E520" s="146"/>
      <c r="F520" s="146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156"/>
      <c r="C521" s="157"/>
      <c r="D521" s="146"/>
      <c r="E521" s="146"/>
      <c r="F521" s="146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156"/>
      <c r="C522" s="157"/>
      <c r="D522" s="146"/>
      <c r="E522" s="146"/>
      <c r="F522" s="146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156"/>
      <c r="C523" s="157"/>
      <c r="D523" s="146"/>
      <c r="E523" s="146"/>
      <c r="F523" s="146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156"/>
      <c r="C524" s="157"/>
      <c r="D524" s="146"/>
      <c r="E524" s="146"/>
      <c r="F524" s="146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156"/>
      <c r="C525" s="157"/>
      <c r="D525" s="146"/>
      <c r="E525" s="146"/>
      <c r="F525" s="146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156"/>
      <c r="C526" s="157"/>
      <c r="D526" s="146"/>
      <c r="E526" s="146"/>
      <c r="F526" s="146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156"/>
      <c r="C527" s="157"/>
      <c r="D527" s="146"/>
      <c r="E527" s="146"/>
      <c r="F527" s="146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156"/>
      <c r="C528" s="157"/>
      <c r="D528" s="146"/>
      <c r="E528" s="146"/>
      <c r="F528" s="146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156"/>
      <c r="C529" s="157"/>
      <c r="D529" s="146"/>
      <c r="E529" s="146"/>
      <c r="F529" s="146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156"/>
      <c r="C530" s="157"/>
      <c r="D530" s="146"/>
      <c r="E530" s="146"/>
      <c r="F530" s="146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156"/>
      <c r="C531" s="157"/>
      <c r="D531" s="146"/>
      <c r="E531" s="146"/>
      <c r="F531" s="146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156"/>
      <c r="C532" s="157"/>
      <c r="D532" s="146"/>
      <c r="E532" s="146"/>
      <c r="F532" s="146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156"/>
      <c r="C533" s="157"/>
      <c r="D533" s="146"/>
      <c r="E533" s="146"/>
      <c r="F533" s="146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156"/>
      <c r="C534" s="157"/>
      <c r="D534" s="146"/>
      <c r="E534" s="146"/>
      <c r="F534" s="146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156"/>
      <c r="C535" s="157"/>
      <c r="D535" s="146"/>
      <c r="E535" s="146"/>
      <c r="F535" s="146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156"/>
      <c r="C536" s="157"/>
      <c r="D536" s="146"/>
      <c r="E536" s="146"/>
      <c r="F536" s="146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156"/>
      <c r="C537" s="157"/>
      <c r="D537" s="146"/>
      <c r="E537" s="146"/>
      <c r="F537" s="146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156"/>
      <c r="C538" s="157"/>
      <c r="D538" s="146"/>
      <c r="E538" s="146"/>
      <c r="F538" s="146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156"/>
      <c r="C539" s="157"/>
      <c r="D539" s="146"/>
      <c r="E539" s="146"/>
      <c r="F539" s="146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156"/>
      <c r="C540" s="157"/>
      <c r="D540" s="146"/>
      <c r="E540" s="146"/>
      <c r="F540" s="146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156"/>
      <c r="C541" s="157"/>
      <c r="D541" s="146"/>
      <c r="E541" s="146"/>
      <c r="F541" s="146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156"/>
      <c r="C542" s="157"/>
      <c r="D542" s="146"/>
      <c r="E542" s="146"/>
      <c r="F542" s="146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156"/>
      <c r="C543" s="157"/>
      <c r="D543" s="146"/>
      <c r="E543" s="146"/>
      <c r="F543" s="146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156"/>
      <c r="C544" s="157"/>
      <c r="D544" s="146"/>
      <c r="E544" s="146"/>
      <c r="F544" s="146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156"/>
      <c r="C545" s="157"/>
      <c r="D545" s="146"/>
      <c r="E545" s="146"/>
      <c r="F545" s="146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156"/>
      <c r="C546" s="157"/>
      <c r="D546" s="146"/>
      <c r="E546" s="146"/>
      <c r="F546" s="146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156"/>
      <c r="C547" s="157"/>
      <c r="D547" s="146"/>
      <c r="E547" s="146"/>
      <c r="F547" s="146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156"/>
      <c r="C548" s="157"/>
      <c r="D548" s="146"/>
      <c r="E548" s="146"/>
      <c r="F548" s="146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156"/>
      <c r="C549" s="157"/>
      <c r="D549" s="146"/>
      <c r="E549" s="146"/>
      <c r="F549" s="146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156"/>
      <c r="C550" s="157"/>
      <c r="D550" s="146"/>
      <c r="E550" s="146"/>
      <c r="F550" s="146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156"/>
      <c r="C551" s="157"/>
      <c r="D551" s="146"/>
      <c r="E551" s="146"/>
      <c r="F551" s="146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156"/>
      <c r="C552" s="157"/>
      <c r="D552" s="146"/>
      <c r="E552" s="146"/>
      <c r="F552" s="146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156"/>
      <c r="C553" s="157"/>
      <c r="D553" s="146"/>
      <c r="E553" s="146"/>
      <c r="F553" s="146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156"/>
      <c r="C554" s="157"/>
      <c r="D554" s="146"/>
      <c r="E554" s="146"/>
      <c r="F554" s="146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156"/>
      <c r="C555" s="157"/>
      <c r="D555" s="146"/>
      <c r="E555" s="146"/>
      <c r="F555" s="146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156"/>
      <c r="C556" s="157"/>
      <c r="D556" s="146"/>
      <c r="E556" s="146"/>
      <c r="F556" s="146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156"/>
      <c r="C557" s="157"/>
      <c r="D557" s="146"/>
      <c r="E557" s="146"/>
      <c r="F557" s="146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156"/>
      <c r="C558" s="157"/>
      <c r="D558" s="146"/>
      <c r="E558" s="146"/>
      <c r="F558" s="146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156"/>
      <c r="C559" s="157"/>
      <c r="D559" s="146"/>
      <c r="E559" s="146"/>
      <c r="F559" s="146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156"/>
      <c r="C560" s="157"/>
      <c r="D560" s="146"/>
      <c r="E560" s="146"/>
      <c r="F560" s="146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156"/>
      <c r="C561" s="157"/>
      <c r="D561" s="146"/>
      <c r="E561" s="146"/>
      <c r="F561" s="146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156"/>
      <c r="C562" s="157"/>
      <c r="D562" s="146"/>
      <c r="E562" s="146"/>
      <c r="F562" s="146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156"/>
      <c r="C563" s="157"/>
      <c r="D563" s="146"/>
      <c r="E563" s="146"/>
      <c r="F563" s="146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156"/>
      <c r="C564" s="157"/>
      <c r="D564" s="146"/>
      <c r="E564" s="146"/>
      <c r="F564" s="146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156"/>
      <c r="C565" s="157"/>
      <c r="D565" s="146"/>
      <c r="E565" s="146"/>
      <c r="F565" s="146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156"/>
      <c r="C566" s="157"/>
      <c r="D566" s="146"/>
      <c r="E566" s="146"/>
      <c r="F566" s="146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156"/>
      <c r="C567" s="157"/>
      <c r="D567" s="146"/>
      <c r="E567" s="146"/>
      <c r="F567" s="146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156"/>
      <c r="C568" s="157"/>
      <c r="D568" s="146"/>
      <c r="E568" s="146"/>
      <c r="F568" s="146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156"/>
      <c r="C569" s="157"/>
      <c r="D569" s="146"/>
      <c r="E569" s="146"/>
      <c r="F569" s="146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156"/>
      <c r="C570" s="157"/>
      <c r="D570" s="146"/>
      <c r="E570" s="146"/>
      <c r="F570" s="146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156"/>
      <c r="C571" s="157"/>
      <c r="D571" s="146"/>
      <c r="E571" s="146"/>
      <c r="F571" s="146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156"/>
      <c r="C572" s="157"/>
      <c r="D572" s="146"/>
      <c r="E572" s="146"/>
      <c r="F572" s="146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156"/>
      <c r="C573" s="157"/>
      <c r="D573" s="146"/>
      <c r="E573" s="146"/>
      <c r="F573" s="146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156"/>
      <c r="C574" s="157"/>
      <c r="D574" s="146"/>
      <c r="E574" s="146"/>
      <c r="F574" s="146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156"/>
      <c r="C575" s="157"/>
      <c r="D575" s="146"/>
      <c r="E575" s="146"/>
      <c r="F575" s="146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156"/>
      <c r="C576" s="157"/>
      <c r="D576" s="146"/>
      <c r="E576" s="146"/>
      <c r="F576" s="146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156"/>
      <c r="C577" s="157"/>
      <c r="D577" s="146"/>
      <c r="E577" s="146"/>
      <c r="F577" s="146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156"/>
      <c r="C578" s="157"/>
      <c r="D578" s="146"/>
      <c r="E578" s="146"/>
      <c r="F578" s="146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156"/>
      <c r="C579" s="157"/>
      <c r="D579" s="146"/>
      <c r="E579" s="146"/>
      <c r="F579" s="146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156"/>
      <c r="C580" s="157"/>
      <c r="D580" s="146"/>
      <c r="E580" s="146"/>
      <c r="F580" s="146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156"/>
      <c r="C581" s="157"/>
      <c r="D581" s="146"/>
      <c r="E581" s="146"/>
      <c r="F581" s="146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156"/>
      <c r="C582" s="157"/>
      <c r="D582" s="146"/>
      <c r="E582" s="146"/>
      <c r="F582" s="146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156"/>
      <c r="C583" s="157"/>
      <c r="D583" s="146"/>
      <c r="E583" s="146"/>
      <c r="F583" s="146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156"/>
      <c r="C584" s="157"/>
      <c r="D584" s="146"/>
      <c r="E584" s="146"/>
      <c r="F584" s="146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156"/>
      <c r="C585" s="157"/>
      <c r="D585" s="146"/>
      <c r="E585" s="146"/>
      <c r="F585" s="146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156"/>
      <c r="C586" s="157"/>
      <c r="D586" s="146"/>
      <c r="E586" s="146"/>
      <c r="F586" s="146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156"/>
      <c r="C587" s="157"/>
      <c r="D587" s="146"/>
      <c r="E587" s="146"/>
      <c r="F587" s="146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156"/>
      <c r="C588" s="157"/>
      <c r="D588" s="146"/>
      <c r="E588" s="146"/>
      <c r="F588" s="146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156"/>
      <c r="C589" s="157"/>
      <c r="D589" s="146"/>
      <c r="E589" s="146"/>
      <c r="F589" s="146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156"/>
      <c r="C590" s="157"/>
      <c r="D590" s="146"/>
      <c r="E590" s="146"/>
      <c r="F590" s="146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156"/>
      <c r="C591" s="157"/>
      <c r="D591" s="146"/>
      <c r="E591" s="146"/>
      <c r="F591" s="146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156"/>
      <c r="C592" s="157"/>
      <c r="D592" s="146"/>
      <c r="E592" s="146"/>
      <c r="F592" s="146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156"/>
      <c r="C593" s="157"/>
      <c r="D593" s="146"/>
      <c r="E593" s="146"/>
      <c r="F593" s="146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156"/>
      <c r="C594" s="157"/>
      <c r="D594" s="146"/>
      <c r="E594" s="146"/>
      <c r="F594" s="146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156"/>
      <c r="C595" s="157"/>
      <c r="D595" s="146"/>
      <c r="E595" s="146"/>
      <c r="F595" s="146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156"/>
      <c r="C596" s="157"/>
      <c r="D596" s="146"/>
      <c r="E596" s="146"/>
      <c r="F596" s="146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156"/>
      <c r="C597" s="157"/>
      <c r="D597" s="146"/>
      <c r="E597" s="146"/>
      <c r="F597" s="146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156"/>
      <c r="C598" s="157"/>
      <c r="D598" s="146"/>
      <c r="E598" s="146"/>
      <c r="F598" s="146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156"/>
      <c r="C599" s="157"/>
      <c r="D599" s="146"/>
      <c r="E599" s="146"/>
      <c r="F599" s="146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156"/>
      <c r="C600" s="157"/>
      <c r="D600" s="146"/>
      <c r="E600" s="146"/>
      <c r="F600" s="146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156"/>
      <c r="C601" s="157"/>
      <c r="D601" s="146"/>
      <c r="E601" s="146"/>
      <c r="F601" s="146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156"/>
      <c r="C602" s="157"/>
      <c r="D602" s="146"/>
      <c r="E602" s="146"/>
      <c r="F602" s="146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156"/>
      <c r="C603" s="157"/>
      <c r="D603" s="146"/>
      <c r="E603" s="146"/>
      <c r="F603" s="146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156"/>
      <c r="C604" s="157"/>
      <c r="D604" s="146"/>
      <c r="E604" s="146"/>
      <c r="F604" s="146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156"/>
      <c r="C605" s="157"/>
      <c r="D605" s="146"/>
      <c r="E605" s="146"/>
      <c r="F605" s="146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156"/>
      <c r="C606" s="157"/>
      <c r="D606" s="146"/>
      <c r="E606" s="146"/>
      <c r="F606" s="146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156"/>
      <c r="C607" s="157"/>
      <c r="D607" s="146"/>
      <c r="E607" s="146"/>
      <c r="F607" s="146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156"/>
      <c r="C608" s="157"/>
      <c r="D608" s="146"/>
      <c r="E608" s="146"/>
      <c r="F608" s="146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156"/>
      <c r="C609" s="157"/>
      <c r="D609" s="146"/>
      <c r="E609" s="146"/>
      <c r="F609" s="146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156"/>
      <c r="C610" s="157"/>
      <c r="D610" s="146"/>
      <c r="E610" s="146"/>
      <c r="F610" s="146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156"/>
      <c r="C611" s="157"/>
      <c r="D611" s="146"/>
      <c r="E611" s="146"/>
      <c r="F611" s="146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156"/>
      <c r="C612" s="157"/>
      <c r="D612" s="146"/>
      <c r="E612" s="146"/>
      <c r="F612" s="146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156"/>
      <c r="C613" s="157"/>
      <c r="D613" s="146"/>
      <c r="E613" s="146"/>
      <c r="F613" s="146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156"/>
      <c r="C614" s="157"/>
      <c r="D614" s="146"/>
      <c r="E614" s="146"/>
      <c r="F614" s="146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156"/>
      <c r="C615" s="157"/>
      <c r="D615" s="146"/>
      <c r="E615" s="146"/>
      <c r="F615" s="146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156"/>
      <c r="C616" s="157"/>
      <c r="D616" s="146"/>
      <c r="E616" s="146"/>
      <c r="F616" s="146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156"/>
      <c r="C617" s="157"/>
      <c r="D617" s="146"/>
      <c r="E617" s="146"/>
      <c r="F617" s="146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156"/>
      <c r="C618" s="157"/>
      <c r="D618" s="146"/>
      <c r="E618" s="146"/>
      <c r="F618" s="146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156"/>
      <c r="C619" s="157"/>
      <c r="D619" s="146"/>
      <c r="E619" s="146"/>
      <c r="F619" s="146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156"/>
      <c r="C620" s="157"/>
      <c r="D620" s="146"/>
      <c r="E620" s="146"/>
      <c r="F620" s="146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156"/>
      <c r="C621" s="157"/>
      <c r="D621" s="146"/>
      <c r="E621" s="146"/>
      <c r="F621" s="146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156"/>
      <c r="C622" s="157"/>
      <c r="D622" s="146"/>
      <c r="E622" s="146"/>
      <c r="F622" s="146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156"/>
      <c r="C623" s="157"/>
      <c r="D623" s="146"/>
      <c r="E623" s="146"/>
      <c r="F623" s="146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156"/>
      <c r="C624" s="157"/>
      <c r="D624" s="146"/>
      <c r="E624" s="146"/>
      <c r="F624" s="146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156"/>
      <c r="C625" s="157"/>
      <c r="D625" s="146"/>
      <c r="E625" s="146"/>
      <c r="F625" s="146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156"/>
      <c r="C626" s="157"/>
      <c r="D626" s="146"/>
      <c r="E626" s="146"/>
      <c r="F626" s="146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156"/>
      <c r="C627" s="157"/>
      <c r="D627" s="146"/>
      <c r="E627" s="146"/>
      <c r="F627" s="146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156"/>
      <c r="C628" s="157"/>
      <c r="D628" s="146"/>
      <c r="E628" s="146"/>
      <c r="F628" s="146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156"/>
      <c r="C629" s="157"/>
      <c r="D629" s="146"/>
      <c r="E629" s="146"/>
      <c r="F629" s="146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156"/>
      <c r="C630" s="157"/>
      <c r="D630" s="146"/>
      <c r="E630" s="146"/>
      <c r="F630" s="146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156"/>
      <c r="C631" s="157"/>
      <c r="D631" s="146"/>
      <c r="E631" s="146"/>
      <c r="F631" s="146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156"/>
      <c r="C632" s="157"/>
      <c r="D632" s="146"/>
      <c r="E632" s="146"/>
      <c r="F632" s="146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156"/>
      <c r="C633" s="157"/>
      <c r="D633" s="146"/>
      <c r="E633" s="146"/>
      <c r="F633" s="146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156"/>
      <c r="C634" s="157"/>
      <c r="D634" s="146"/>
      <c r="E634" s="146"/>
      <c r="F634" s="146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156"/>
      <c r="C635" s="157"/>
      <c r="D635" s="146"/>
      <c r="E635" s="146"/>
      <c r="F635" s="146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156"/>
      <c r="C636" s="157"/>
      <c r="D636" s="146"/>
      <c r="E636" s="146"/>
      <c r="F636" s="146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156"/>
      <c r="C637" s="157"/>
      <c r="D637" s="146"/>
      <c r="E637" s="146"/>
      <c r="F637" s="146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156"/>
      <c r="C638" s="157"/>
      <c r="D638" s="146"/>
      <c r="E638" s="146"/>
      <c r="F638" s="146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156"/>
      <c r="C639" s="157"/>
      <c r="D639" s="146"/>
      <c r="E639" s="146"/>
      <c r="F639" s="146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156"/>
      <c r="C640" s="157"/>
      <c r="D640" s="146"/>
      <c r="E640" s="146"/>
      <c r="F640" s="146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156"/>
      <c r="C641" s="157"/>
      <c r="D641" s="146"/>
      <c r="E641" s="146"/>
      <c r="F641" s="146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156"/>
      <c r="C642" s="157"/>
      <c r="D642" s="146"/>
      <c r="E642" s="146"/>
      <c r="F642" s="146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156"/>
      <c r="C643" s="157"/>
      <c r="D643" s="146"/>
      <c r="E643" s="146"/>
      <c r="F643" s="146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156"/>
      <c r="C644" s="157"/>
      <c r="D644" s="146"/>
      <c r="E644" s="146"/>
      <c r="F644" s="146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156"/>
      <c r="C645" s="157"/>
      <c r="D645" s="146"/>
      <c r="E645" s="146"/>
      <c r="F645" s="146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156"/>
      <c r="C646" s="157"/>
      <c r="D646" s="146"/>
      <c r="E646" s="146"/>
      <c r="F646" s="146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156"/>
      <c r="C647" s="157"/>
      <c r="D647" s="146"/>
      <c r="E647" s="146"/>
      <c r="F647" s="146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156"/>
      <c r="C648" s="157"/>
      <c r="D648" s="146"/>
      <c r="E648" s="146"/>
      <c r="F648" s="146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156"/>
      <c r="C649" s="157"/>
      <c r="D649" s="146"/>
      <c r="E649" s="146"/>
      <c r="F649" s="146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156"/>
      <c r="C650" s="157"/>
      <c r="D650" s="146"/>
      <c r="E650" s="146"/>
      <c r="F650" s="146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156"/>
      <c r="C651" s="157"/>
      <c r="D651" s="146"/>
      <c r="E651" s="146"/>
      <c r="F651" s="146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156"/>
      <c r="C652" s="157"/>
      <c r="D652" s="146"/>
      <c r="E652" s="146"/>
      <c r="F652" s="146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156"/>
      <c r="C653" s="157"/>
      <c r="D653" s="146"/>
      <c r="E653" s="146"/>
      <c r="F653" s="146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156"/>
      <c r="C654" s="157"/>
      <c r="D654" s="146"/>
      <c r="E654" s="146"/>
      <c r="F654" s="146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156"/>
      <c r="C655" s="157"/>
      <c r="D655" s="146"/>
      <c r="E655" s="146"/>
      <c r="F655" s="146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156"/>
      <c r="C656" s="157"/>
      <c r="D656" s="146"/>
      <c r="E656" s="146"/>
      <c r="F656" s="146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156"/>
      <c r="C657" s="157"/>
      <c r="D657" s="146"/>
      <c r="E657" s="146"/>
      <c r="F657" s="146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156"/>
      <c r="C658" s="157"/>
      <c r="D658" s="146"/>
      <c r="E658" s="146"/>
      <c r="F658" s="146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156"/>
      <c r="C659" s="157"/>
      <c r="D659" s="146"/>
      <c r="E659" s="146"/>
      <c r="F659" s="146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156"/>
      <c r="C660" s="157"/>
      <c r="D660" s="146"/>
      <c r="E660" s="146"/>
      <c r="F660" s="146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156"/>
      <c r="C661" s="157"/>
      <c r="D661" s="146"/>
      <c r="E661" s="146"/>
      <c r="F661" s="146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156"/>
      <c r="C662" s="157"/>
      <c r="D662" s="146"/>
      <c r="E662" s="146"/>
      <c r="F662" s="146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156"/>
      <c r="C663" s="157"/>
      <c r="D663" s="146"/>
      <c r="E663" s="146"/>
      <c r="F663" s="146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156"/>
      <c r="C664" s="157"/>
      <c r="D664" s="146"/>
      <c r="E664" s="146"/>
      <c r="F664" s="146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156"/>
      <c r="C665" s="157"/>
      <c r="D665" s="146"/>
      <c r="E665" s="146"/>
      <c r="F665" s="146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156"/>
      <c r="C666" s="157"/>
      <c r="D666" s="146"/>
      <c r="E666" s="146"/>
      <c r="F666" s="146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156"/>
      <c r="C667" s="157"/>
      <c r="D667" s="146"/>
      <c r="E667" s="146"/>
      <c r="F667" s="146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156"/>
      <c r="C668" s="157"/>
      <c r="D668" s="146"/>
      <c r="E668" s="146"/>
      <c r="F668" s="146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156"/>
      <c r="C669" s="157"/>
      <c r="D669" s="146"/>
      <c r="E669" s="146"/>
      <c r="F669" s="146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156"/>
      <c r="C670" s="157"/>
      <c r="D670" s="146"/>
      <c r="E670" s="146"/>
      <c r="F670" s="146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156"/>
      <c r="C671" s="157"/>
      <c r="D671" s="146"/>
      <c r="E671" s="146"/>
      <c r="F671" s="146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156"/>
      <c r="C672" s="157"/>
      <c r="D672" s="146"/>
      <c r="E672" s="146"/>
      <c r="F672" s="146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156"/>
      <c r="C673" s="157"/>
      <c r="D673" s="146"/>
      <c r="E673" s="146"/>
      <c r="F673" s="146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156"/>
      <c r="C674" s="157"/>
      <c r="D674" s="146"/>
      <c r="E674" s="146"/>
      <c r="F674" s="146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156"/>
      <c r="C675" s="157"/>
      <c r="D675" s="146"/>
      <c r="E675" s="146"/>
      <c r="F675" s="146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156"/>
      <c r="C676" s="157"/>
      <c r="D676" s="146"/>
      <c r="E676" s="146"/>
      <c r="F676" s="146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156"/>
      <c r="C677" s="157"/>
      <c r="D677" s="146"/>
      <c r="E677" s="146"/>
      <c r="F677" s="146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156"/>
      <c r="C678" s="157"/>
      <c r="D678" s="146"/>
      <c r="E678" s="146"/>
      <c r="F678" s="146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156"/>
      <c r="C679" s="157"/>
      <c r="D679" s="146"/>
      <c r="E679" s="146"/>
      <c r="F679" s="146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156"/>
      <c r="C680" s="157"/>
      <c r="D680" s="146"/>
      <c r="E680" s="146"/>
      <c r="F680" s="146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156"/>
      <c r="C681" s="157"/>
      <c r="D681" s="146"/>
      <c r="E681" s="146"/>
      <c r="F681" s="146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156"/>
      <c r="C682" s="157"/>
      <c r="D682" s="146"/>
      <c r="E682" s="146"/>
      <c r="F682" s="146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156"/>
      <c r="C683" s="157"/>
      <c r="D683" s="146"/>
      <c r="E683" s="146"/>
      <c r="F683" s="146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156"/>
      <c r="C684" s="157"/>
      <c r="D684" s="146"/>
      <c r="E684" s="146"/>
      <c r="F684" s="146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156"/>
      <c r="C685" s="157"/>
      <c r="D685" s="146"/>
      <c r="E685" s="146"/>
      <c r="F685" s="146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156"/>
      <c r="C686" s="157"/>
      <c r="D686" s="146"/>
      <c r="E686" s="146"/>
      <c r="F686" s="146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156"/>
      <c r="C687" s="157"/>
      <c r="D687" s="146"/>
      <c r="E687" s="146"/>
      <c r="F687" s="146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156"/>
      <c r="C688" s="157"/>
      <c r="D688" s="146"/>
      <c r="E688" s="146"/>
      <c r="F688" s="146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156"/>
      <c r="C689" s="157"/>
      <c r="D689" s="146"/>
      <c r="E689" s="146"/>
      <c r="F689" s="146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156"/>
      <c r="C690" s="157"/>
      <c r="D690" s="146"/>
      <c r="E690" s="146"/>
      <c r="F690" s="146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156"/>
      <c r="C691" s="157"/>
      <c r="D691" s="146"/>
      <c r="E691" s="146"/>
      <c r="F691" s="146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156"/>
      <c r="C692" s="157"/>
      <c r="D692" s="146"/>
      <c r="E692" s="146"/>
      <c r="F692" s="146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156"/>
      <c r="C693" s="157"/>
      <c r="D693" s="146"/>
      <c r="E693" s="146"/>
      <c r="F693" s="146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156"/>
      <c r="C694" s="157"/>
      <c r="D694" s="146"/>
      <c r="E694" s="146"/>
      <c r="F694" s="146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156"/>
      <c r="C695" s="157"/>
      <c r="D695" s="146"/>
      <c r="E695" s="146"/>
      <c r="F695" s="146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156"/>
      <c r="C696" s="157"/>
      <c r="D696" s="146"/>
      <c r="E696" s="146"/>
      <c r="F696" s="146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156"/>
      <c r="C697" s="157"/>
      <c r="D697" s="146"/>
      <c r="E697" s="146"/>
      <c r="F697" s="146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156"/>
      <c r="C698" s="157"/>
      <c r="D698" s="146"/>
      <c r="E698" s="146"/>
      <c r="F698" s="146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156"/>
      <c r="C699" s="157"/>
      <c r="D699" s="146"/>
      <c r="E699" s="146"/>
      <c r="F699" s="146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156"/>
      <c r="C700" s="157"/>
      <c r="D700" s="146"/>
      <c r="E700" s="146"/>
      <c r="F700" s="146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156"/>
      <c r="C701" s="157"/>
      <c r="D701" s="146"/>
      <c r="E701" s="146"/>
      <c r="F701" s="146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156"/>
      <c r="C702" s="157"/>
      <c r="D702" s="146"/>
      <c r="E702" s="146"/>
      <c r="F702" s="146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156"/>
      <c r="C703" s="157"/>
      <c r="D703" s="146"/>
      <c r="E703" s="146"/>
      <c r="F703" s="146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156"/>
      <c r="C704" s="157"/>
      <c r="D704" s="146"/>
      <c r="E704" s="146"/>
      <c r="F704" s="146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156"/>
      <c r="C705" s="157"/>
      <c r="D705" s="146"/>
      <c r="E705" s="146"/>
      <c r="F705" s="146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156"/>
      <c r="C706" s="157"/>
      <c r="D706" s="146"/>
      <c r="E706" s="146"/>
      <c r="F706" s="146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156"/>
      <c r="C707" s="157"/>
      <c r="D707" s="146"/>
      <c r="E707" s="146"/>
      <c r="F707" s="146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156"/>
      <c r="C708" s="157"/>
      <c r="D708" s="146"/>
      <c r="E708" s="146"/>
      <c r="F708" s="146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156"/>
      <c r="C709" s="157"/>
      <c r="D709" s="146"/>
      <c r="E709" s="146"/>
      <c r="F709" s="146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156"/>
      <c r="C710" s="157"/>
      <c r="D710" s="146"/>
      <c r="E710" s="146"/>
      <c r="F710" s="146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156"/>
      <c r="C711" s="157"/>
      <c r="D711" s="146"/>
      <c r="E711" s="146"/>
      <c r="F711" s="146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156"/>
      <c r="C712" s="157"/>
      <c r="D712" s="146"/>
      <c r="E712" s="146"/>
      <c r="F712" s="146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156"/>
      <c r="C713" s="157"/>
      <c r="D713" s="146"/>
      <c r="E713" s="146"/>
      <c r="F713" s="146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156"/>
      <c r="C714" s="157"/>
      <c r="D714" s="146"/>
      <c r="E714" s="146"/>
      <c r="F714" s="146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156"/>
      <c r="C715" s="157"/>
      <c r="D715" s="146"/>
      <c r="E715" s="146"/>
      <c r="F715" s="146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156"/>
      <c r="C716" s="157"/>
      <c r="D716" s="146"/>
      <c r="E716" s="146"/>
      <c r="F716" s="146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156"/>
      <c r="C717" s="157"/>
      <c r="D717" s="146"/>
      <c r="E717" s="146"/>
      <c r="F717" s="146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156"/>
      <c r="C718" s="157"/>
      <c r="D718" s="146"/>
      <c r="E718" s="146"/>
      <c r="F718" s="146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156"/>
      <c r="C719" s="157"/>
      <c r="D719" s="146"/>
      <c r="E719" s="146"/>
      <c r="F719" s="146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156"/>
      <c r="C720" s="157"/>
      <c r="D720" s="146"/>
      <c r="E720" s="146"/>
      <c r="F720" s="146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156"/>
      <c r="C721" s="157"/>
      <c r="D721" s="146"/>
      <c r="E721" s="146"/>
      <c r="F721" s="146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156"/>
      <c r="C722" s="157"/>
      <c r="D722" s="146"/>
      <c r="E722" s="146"/>
      <c r="F722" s="146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156"/>
      <c r="C723" s="157"/>
      <c r="D723" s="146"/>
      <c r="E723" s="146"/>
      <c r="F723" s="146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156"/>
      <c r="C724" s="157"/>
      <c r="D724" s="146"/>
      <c r="E724" s="146"/>
      <c r="F724" s="146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156"/>
      <c r="C725" s="157"/>
      <c r="D725" s="146"/>
      <c r="E725" s="146"/>
      <c r="F725" s="146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156"/>
      <c r="C726" s="157"/>
      <c r="D726" s="146"/>
      <c r="E726" s="146"/>
      <c r="F726" s="146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156"/>
      <c r="C727" s="157"/>
      <c r="D727" s="146"/>
      <c r="E727" s="146"/>
      <c r="F727" s="146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156"/>
      <c r="C728" s="157"/>
      <c r="D728" s="146"/>
      <c r="E728" s="146"/>
      <c r="F728" s="146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156"/>
      <c r="C729" s="157"/>
      <c r="D729" s="146"/>
      <c r="E729" s="146"/>
      <c r="F729" s="146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156"/>
      <c r="C730" s="157"/>
      <c r="D730" s="146"/>
      <c r="E730" s="146"/>
      <c r="F730" s="146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156"/>
      <c r="C731" s="157"/>
      <c r="D731" s="146"/>
      <c r="E731" s="146"/>
      <c r="F731" s="146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156"/>
      <c r="C732" s="157"/>
      <c r="D732" s="146"/>
      <c r="E732" s="146"/>
      <c r="F732" s="146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156"/>
      <c r="C733" s="157"/>
      <c r="D733" s="146"/>
      <c r="E733" s="146"/>
      <c r="F733" s="146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156"/>
      <c r="C734" s="157"/>
      <c r="D734" s="146"/>
      <c r="E734" s="146"/>
      <c r="F734" s="146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156"/>
      <c r="C735" s="157"/>
      <c r="D735" s="146"/>
      <c r="E735" s="146"/>
      <c r="F735" s="146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156"/>
      <c r="C736" s="157"/>
      <c r="D736" s="146"/>
      <c r="E736" s="146"/>
      <c r="F736" s="146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156"/>
      <c r="C737" s="157"/>
      <c r="D737" s="146"/>
      <c r="E737" s="146"/>
      <c r="F737" s="146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156"/>
      <c r="C738" s="157"/>
      <c r="D738" s="146"/>
      <c r="E738" s="146"/>
      <c r="F738" s="146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156"/>
      <c r="C739" s="157"/>
      <c r="D739" s="146"/>
      <c r="E739" s="146"/>
      <c r="F739" s="146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156"/>
      <c r="C740" s="157"/>
      <c r="D740" s="146"/>
      <c r="E740" s="146"/>
      <c r="F740" s="146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156"/>
      <c r="C741" s="157"/>
      <c r="D741" s="146"/>
      <c r="E741" s="146"/>
      <c r="F741" s="146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156"/>
      <c r="C742" s="157"/>
      <c r="D742" s="146"/>
      <c r="E742" s="146"/>
      <c r="F742" s="146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156"/>
      <c r="C743" s="157"/>
      <c r="D743" s="146"/>
      <c r="E743" s="146"/>
      <c r="F743" s="146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156"/>
      <c r="C744" s="157"/>
      <c r="D744" s="146"/>
      <c r="E744" s="146"/>
      <c r="F744" s="146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156"/>
      <c r="C745" s="157"/>
      <c r="D745" s="146"/>
      <c r="E745" s="146"/>
      <c r="F745" s="146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156"/>
      <c r="C746" s="157"/>
      <c r="D746" s="146"/>
      <c r="E746" s="146"/>
      <c r="F746" s="146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156"/>
      <c r="C747" s="157"/>
      <c r="D747" s="146"/>
      <c r="E747" s="146"/>
      <c r="F747" s="146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156"/>
      <c r="C748" s="157"/>
      <c r="D748" s="146"/>
      <c r="E748" s="146"/>
      <c r="F748" s="146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156"/>
      <c r="C749" s="157"/>
      <c r="D749" s="146"/>
      <c r="E749" s="146"/>
      <c r="F749" s="146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156"/>
      <c r="C750" s="157"/>
      <c r="D750" s="146"/>
      <c r="E750" s="146"/>
      <c r="F750" s="146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156"/>
      <c r="C751" s="157"/>
      <c r="D751" s="146"/>
      <c r="E751" s="146"/>
      <c r="F751" s="146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156"/>
      <c r="C752" s="157"/>
      <c r="D752" s="146"/>
      <c r="E752" s="146"/>
      <c r="F752" s="146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156"/>
      <c r="C753" s="157"/>
      <c r="D753" s="146"/>
      <c r="E753" s="146"/>
      <c r="F753" s="146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156"/>
      <c r="C754" s="157"/>
      <c r="D754" s="146"/>
      <c r="E754" s="146"/>
      <c r="F754" s="146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156"/>
      <c r="C755" s="157"/>
      <c r="D755" s="146"/>
      <c r="E755" s="146"/>
      <c r="F755" s="146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156"/>
      <c r="C756" s="157"/>
      <c r="D756" s="146"/>
      <c r="E756" s="146"/>
      <c r="F756" s="146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156"/>
      <c r="C757" s="157"/>
      <c r="D757" s="146"/>
      <c r="E757" s="146"/>
      <c r="F757" s="146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156"/>
      <c r="C758" s="157"/>
      <c r="D758" s="146"/>
      <c r="E758" s="146"/>
      <c r="F758" s="146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156"/>
      <c r="C759" s="157"/>
      <c r="D759" s="146"/>
      <c r="E759" s="146"/>
      <c r="F759" s="146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156"/>
      <c r="C760" s="157"/>
      <c r="D760" s="146"/>
      <c r="E760" s="146"/>
      <c r="F760" s="146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156"/>
      <c r="C761" s="157"/>
      <c r="D761" s="146"/>
      <c r="E761" s="146"/>
      <c r="F761" s="146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156"/>
      <c r="C762" s="157"/>
      <c r="D762" s="146"/>
      <c r="E762" s="146"/>
      <c r="F762" s="146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156"/>
      <c r="C763" s="157"/>
      <c r="D763" s="146"/>
      <c r="E763" s="146"/>
      <c r="F763" s="146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156"/>
      <c r="C764" s="157"/>
      <c r="D764" s="146"/>
      <c r="E764" s="146"/>
      <c r="F764" s="146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156"/>
      <c r="C765" s="157"/>
      <c r="D765" s="146"/>
      <c r="E765" s="146"/>
      <c r="F765" s="146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156"/>
      <c r="C766" s="157"/>
      <c r="D766" s="146"/>
      <c r="E766" s="146"/>
      <c r="F766" s="146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156"/>
      <c r="C767" s="157"/>
      <c r="D767" s="146"/>
      <c r="E767" s="146"/>
      <c r="F767" s="146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156"/>
      <c r="C768" s="157"/>
      <c r="D768" s="146"/>
      <c r="E768" s="146"/>
      <c r="F768" s="146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156"/>
      <c r="C769" s="157"/>
      <c r="D769" s="146"/>
      <c r="E769" s="146"/>
      <c r="F769" s="146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156"/>
      <c r="C770" s="157"/>
      <c r="D770" s="146"/>
      <c r="E770" s="146"/>
      <c r="F770" s="146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156"/>
      <c r="C771" s="157"/>
      <c r="D771" s="146"/>
      <c r="E771" s="146"/>
      <c r="F771" s="146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156"/>
      <c r="C772" s="157"/>
      <c r="D772" s="146"/>
      <c r="E772" s="146"/>
      <c r="F772" s="146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156"/>
      <c r="C773" s="157"/>
      <c r="D773" s="146"/>
      <c r="E773" s="146"/>
      <c r="F773" s="146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156"/>
      <c r="C774" s="157"/>
      <c r="D774" s="146"/>
      <c r="E774" s="146"/>
      <c r="F774" s="146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156"/>
      <c r="C775" s="157"/>
      <c r="D775" s="146"/>
      <c r="E775" s="146"/>
      <c r="F775" s="146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156"/>
      <c r="C776" s="157"/>
      <c r="D776" s="146"/>
      <c r="E776" s="146"/>
      <c r="F776" s="146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156"/>
      <c r="C777" s="157"/>
      <c r="D777" s="146"/>
      <c r="E777" s="146"/>
      <c r="F777" s="146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156"/>
      <c r="C778" s="157"/>
      <c r="D778" s="146"/>
      <c r="E778" s="146"/>
      <c r="F778" s="146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156"/>
      <c r="C779" s="157"/>
      <c r="D779" s="146"/>
      <c r="E779" s="146"/>
      <c r="F779" s="146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156"/>
      <c r="C780" s="157"/>
      <c r="D780" s="146"/>
      <c r="E780" s="146"/>
      <c r="F780" s="146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156"/>
      <c r="C781" s="157"/>
      <c r="D781" s="146"/>
      <c r="E781" s="146"/>
      <c r="F781" s="146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156"/>
      <c r="C782" s="157"/>
      <c r="D782" s="146"/>
      <c r="E782" s="146"/>
      <c r="F782" s="146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156"/>
      <c r="C783" s="157"/>
      <c r="D783" s="146"/>
      <c r="E783" s="146"/>
      <c r="F783" s="146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156"/>
      <c r="C784" s="157"/>
      <c r="D784" s="146"/>
      <c r="E784" s="146"/>
      <c r="F784" s="146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156"/>
      <c r="C785" s="157"/>
      <c r="D785" s="146"/>
      <c r="E785" s="146"/>
      <c r="F785" s="146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156"/>
      <c r="C786" s="157"/>
      <c r="D786" s="146"/>
      <c r="E786" s="146"/>
      <c r="F786" s="146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156"/>
      <c r="C787" s="157"/>
      <c r="D787" s="146"/>
      <c r="E787" s="146"/>
      <c r="F787" s="146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156"/>
      <c r="C788" s="157"/>
      <c r="D788" s="146"/>
      <c r="E788" s="146"/>
      <c r="F788" s="146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156"/>
      <c r="C789" s="157"/>
      <c r="D789" s="146"/>
      <c r="E789" s="146"/>
      <c r="F789" s="146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156"/>
      <c r="C790" s="157"/>
      <c r="D790" s="146"/>
      <c r="E790" s="146"/>
      <c r="F790" s="146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156"/>
      <c r="C791" s="157"/>
      <c r="D791" s="146"/>
      <c r="E791" s="146"/>
      <c r="F791" s="146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156"/>
      <c r="C792" s="157"/>
      <c r="D792" s="146"/>
      <c r="E792" s="146"/>
      <c r="F792" s="146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156"/>
      <c r="C793" s="157"/>
      <c r="D793" s="146"/>
      <c r="E793" s="146"/>
      <c r="F793" s="146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156"/>
      <c r="C794" s="157"/>
      <c r="D794" s="146"/>
      <c r="E794" s="146"/>
      <c r="F794" s="146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156"/>
      <c r="C795" s="157"/>
      <c r="D795" s="146"/>
      <c r="E795" s="146"/>
      <c r="F795" s="146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156"/>
      <c r="C796" s="157"/>
      <c r="D796" s="146"/>
      <c r="E796" s="146"/>
      <c r="F796" s="146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156"/>
      <c r="C797" s="157"/>
      <c r="D797" s="146"/>
      <c r="E797" s="146"/>
      <c r="F797" s="146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156"/>
      <c r="C798" s="157"/>
      <c r="D798" s="146"/>
      <c r="E798" s="146"/>
      <c r="F798" s="146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156"/>
      <c r="C799" s="157"/>
      <c r="D799" s="146"/>
      <c r="E799" s="146"/>
      <c r="F799" s="146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156"/>
      <c r="C800" s="157"/>
      <c r="D800" s="146"/>
      <c r="E800" s="146"/>
      <c r="F800" s="146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156"/>
      <c r="C801" s="157"/>
      <c r="D801" s="146"/>
      <c r="E801" s="146"/>
      <c r="F801" s="146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156"/>
      <c r="C802" s="157"/>
      <c r="D802" s="146"/>
      <c r="E802" s="146"/>
      <c r="F802" s="146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156"/>
      <c r="C803" s="157"/>
      <c r="D803" s="146"/>
      <c r="E803" s="146"/>
      <c r="F803" s="146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156"/>
      <c r="C804" s="157"/>
      <c r="D804" s="146"/>
      <c r="E804" s="146"/>
      <c r="F804" s="146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156"/>
      <c r="C805" s="157"/>
      <c r="D805" s="146"/>
      <c r="E805" s="146"/>
      <c r="F805" s="146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156"/>
      <c r="C806" s="157"/>
      <c r="D806" s="146"/>
      <c r="E806" s="146"/>
      <c r="F806" s="146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156"/>
      <c r="C807" s="157"/>
      <c r="D807" s="146"/>
      <c r="E807" s="146"/>
      <c r="F807" s="146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156"/>
      <c r="C808" s="157"/>
      <c r="D808" s="146"/>
      <c r="E808" s="146"/>
      <c r="F808" s="146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156"/>
      <c r="C809" s="157"/>
      <c r="D809" s="146"/>
      <c r="E809" s="146"/>
      <c r="F809" s="146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156"/>
      <c r="C810" s="157"/>
      <c r="D810" s="146"/>
      <c r="E810" s="146"/>
      <c r="F810" s="146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156"/>
      <c r="C811" s="157"/>
      <c r="D811" s="146"/>
      <c r="E811" s="146"/>
      <c r="F811" s="146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156"/>
      <c r="C812" s="157"/>
      <c r="D812" s="146"/>
      <c r="E812" s="146"/>
      <c r="F812" s="146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156"/>
      <c r="C813" s="157"/>
      <c r="D813" s="146"/>
      <c r="E813" s="146"/>
      <c r="F813" s="146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156"/>
      <c r="C814" s="157"/>
      <c r="D814" s="146"/>
      <c r="E814" s="146"/>
      <c r="F814" s="146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156"/>
      <c r="C815" s="157"/>
      <c r="D815" s="146"/>
      <c r="E815" s="146"/>
      <c r="F815" s="146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156"/>
      <c r="C816" s="157"/>
      <c r="D816" s="146"/>
      <c r="E816" s="146"/>
      <c r="F816" s="146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156"/>
      <c r="C817" s="157"/>
      <c r="D817" s="146"/>
      <c r="E817" s="146"/>
      <c r="F817" s="146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156"/>
      <c r="C818" s="157"/>
      <c r="D818" s="146"/>
      <c r="E818" s="146"/>
      <c r="F818" s="146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156"/>
      <c r="C819" s="157"/>
      <c r="D819" s="146"/>
      <c r="E819" s="146"/>
      <c r="F819" s="146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156"/>
      <c r="C820" s="157"/>
      <c r="D820" s="146"/>
      <c r="E820" s="146"/>
      <c r="F820" s="146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156"/>
      <c r="C821" s="157"/>
      <c r="D821" s="146"/>
      <c r="E821" s="146"/>
      <c r="F821" s="146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156"/>
      <c r="C822" s="157"/>
      <c r="D822" s="146"/>
      <c r="E822" s="146"/>
      <c r="F822" s="146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156"/>
      <c r="C823" s="157"/>
      <c r="D823" s="146"/>
      <c r="E823" s="146"/>
      <c r="F823" s="146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156"/>
      <c r="C824" s="157"/>
      <c r="D824" s="146"/>
      <c r="E824" s="146"/>
      <c r="F824" s="146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156"/>
      <c r="C825" s="157"/>
      <c r="D825" s="146"/>
      <c r="E825" s="146"/>
      <c r="F825" s="146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156"/>
      <c r="C826" s="157"/>
      <c r="D826" s="146"/>
      <c r="E826" s="146"/>
      <c r="F826" s="146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156"/>
      <c r="C827" s="157"/>
      <c r="D827" s="146"/>
      <c r="E827" s="146"/>
      <c r="F827" s="146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156"/>
      <c r="C828" s="157"/>
      <c r="D828" s="146"/>
      <c r="E828" s="146"/>
      <c r="F828" s="146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156"/>
      <c r="C829" s="157"/>
      <c r="D829" s="146"/>
      <c r="E829" s="146"/>
      <c r="F829" s="146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156"/>
      <c r="C830" s="157"/>
      <c r="D830" s="146"/>
      <c r="E830" s="146"/>
      <c r="F830" s="146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156"/>
      <c r="C831" s="157"/>
      <c r="D831" s="146"/>
      <c r="E831" s="146"/>
      <c r="F831" s="146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156"/>
      <c r="C832" s="157"/>
      <c r="D832" s="146"/>
      <c r="E832" s="146"/>
      <c r="F832" s="146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156"/>
      <c r="C833" s="157"/>
      <c r="D833" s="146"/>
      <c r="E833" s="146"/>
      <c r="F833" s="146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156"/>
      <c r="C834" s="157"/>
      <c r="D834" s="146"/>
      <c r="E834" s="146"/>
      <c r="F834" s="146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156"/>
      <c r="C835" s="157"/>
      <c r="D835" s="146"/>
      <c r="E835" s="146"/>
      <c r="F835" s="146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156"/>
      <c r="C836" s="157"/>
      <c r="D836" s="146"/>
      <c r="E836" s="146"/>
      <c r="F836" s="146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156"/>
      <c r="C837" s="157"/>
      <c r="D837" s="146"/>
      <c r="E837" s="146"/>
      <c r="F837" s="146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156"/>
      <c r="C838" s="157"/>
      <c r="D838" s="146"/>
      <c r="E838" s="146"/>
      <c r="F838" s="146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156"/>
      <c r="C839" s="157"/>
      <c r="D839" s="146"/>
      <c r="E839" s="146"/>
      <c r="F839" s="146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156"/>
      <c r="C840" s="157"/>
      <c r="D840" s="146"/>
      <c r="E840" s="146"/>
      <c r="F840" s="146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156"/>
      <c r="C841" s="157"/>
      <c r="D841" s="146"/>
      <c r="E841" s="146"/>
      <c r="F841" s="146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156"/>
      <c r="C842" s="157"/>
      <c r="D842" s="146"/>
      <c r="E842" s="146"/>
      <c r="F842" s="146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156"/>
      <c r="C843" s="157"/>
      <c r="D843" s="146"/>
      <c r="E843" s="146"/>
      <c r="F843" s="146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156"/>
      <c r="C844" s="157"/>
      <c r="D844" s="146"/>
      <c r="E844" s="146"/>
      <c r="F844" s="146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156"/>
      <c r="C845" s="157"/>
      <c r="D845" s="146"/>
      <c r="E845" s="146"/>
      <c r="F845" s="146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156"/>
      <c r="C846" s="157"/>
      <c r="D846" s="146"/>
      <c r="E846" s="146"/>
      <c r="F846" s="146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156"/>
      <c r="C847" s="157"/>
      <c r="D847" s="146"/>
      <c r="E847" s="146"/>
      <c r="F847" s="146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156"/>
      <c r="C848" s="157"/>
      <c r="D848" s="146"/>
      <c r="E848" s="146"/>
      <c r="F848" s="146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156"/>
      <c r="C849" s="157"/>
      <c r="D849" s="146"/>
      <c r="E849" s="146"/>
      <c r="F849" s="146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156"/>
      <c r="C850" s="157"/>
      <c r="D850" s="146"/>
      <c r="E850" s="146"/>
      <c r="F850" s="146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156"/>
      <c r="C851" s="157"/>
      <c r="D851" s="146"/>
      <c r="E851" s="146"/>
      <c r="F851" s="146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156"/>
      <c r="C852" s="157"/>
      <c r="D852" s="146"/>
      <c r="E852" s="146"/>
      <c r="F852" s="146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156"/>
      <c r="C853" s="157"/>
      <c r="D853" s="146"/>
      <c r="E853" s="146"/>
      <c r="F853" s="146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156"/>
      <c r="C854" s="157"/>
      <c r="D854" s="146"/>
      <c r="E854" s="146"/>
      <c r="F854" s="146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156"/>
      <c r="C855" s="157"/>
      <c r="D855" s="146"/>
      <c r="E855" s="146"/>
      <c r="F855" s="146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156"/>
      <c r="C856" s="157"/>
      <c r="D856" s="146"/>
      <c r="E856" s="146"/>
      <c r="F856" s="146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156"/>
      <c r="C857" s="157"/>
      <c r="D857" s="146"/>
      <c r="E857" s="146"/>
      <c r="F857" s="146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156"/>
      <c r="C858" s="157"/>
      <c r="D858" s="146"/>
      <c r="E858" s="146"/>
      <c r="F858" s="146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156"/>
      <c r="C859" s="157"/>
      <c r="D859" s="146"/>
      <c r="E859" s="146"/>
      <c r="F859" s="146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156"/>
      <c r="C860" s="157"/>
      <c r="D860" s="146"/>
      <c r="E860" s="146"/>
      <c r="F860" s="146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156"/>
      <c r="C861" s="157"/>
      <c r="D861" s="146"/>
      <c r="E861" s="146"/>
      <c r="F861" s="146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156"/>
      <c r="C862" s="157"/>
      <c r="D862" s="146"/>
      <c r="E862" s="146"/>
      <c r="F862" s="146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156"/>
      <c r="C863" s="157"/>
      <c r="D863" s="146"/>
      <c r="E863" s="146"/>
      <c r="F863" s="146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156"/>
      <c r="C864" s="157"/>
      <c r="D864" s="146"/>
      <c r="E864" s="146"/>
      <c r="F864" s="146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156"/>
      <c r="C865" s="157"/>
      <c r="D865" s="146"/>
      <c r="E865" s="146"/>
      <c r="F865" s="146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156"/>
      <c r="C866" s="157"/>
      <c r="D866" s="146"/>
      <c r="E866" s="146"/>
      <c r="F866" s="146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156"/>
      <c r="C867" s="157"/>
      <c r="D867" s="146"/>
      <c r="E867" s="146"/>
      <c r="F867" s="146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156"/>
      <c r="C868" s="157"/>
      <c r="D868" s="146"/>
      <c r="E868" s="146"/>
      <c r="F868" s="146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156"/>
      <c r="C869" s="157"/>
      <c r="D869" s="146"/>
      <c r="E869" s="146"/>
      <c r="F869" s="146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156"/>
      <c r="C870" s="157"/>
      <c r="D870" s="146"/>
      <c r="E870" s="146"/>
      <c r="F870" s="146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156"/>
      <c r="C871" s="157"/>
      <c r="D871" s="146"/>
      <c r="E871" s="146"/>
      <c r="F871" s="146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156"/>
      <c r="C872" s="157"/>
      <c r="D872" s="146"/>
      <c r="E872" s="146"/>
      <c r="F872" s="146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156"/>
      <c r="C873" s="157"/>
      <c r="D873" s="146"/>
      <c r="E873" s="146"/>
      <c r="F873" s="146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156"/>
      <c r="C874" s="157"/>
      <c r="D874" s="146"/>
      <c r="E874" s="146"/>
      <c r="F874" s="146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156"/>
      <c r="C875" s="157"/>
      <c r="D875" s="146"/>
      <c r="E875" s="146"/>
      <c r="F875" s="146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156"/>
      <c r="C876" s="157"/>
      <c r="D876" s="146"/>
      <c r="E876" s="146"/>
      <c r="F876" s="146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156"/>
      <c r="C877" s="157"/>
      <c r="D877" s="146"/>
      <c r="E877" s="146"/>
      <c r="F877" s="146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156"/>
      <c r="C878" s="157"/>
      <c r="D878" s="146"/>
      <c r="E878" s="146"/>
      <c r="F878" s="146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156"/>
      <c r="C879" s="157"/>
      <c r="D879" s="146"/>
      <c r="E879" s="146"/>
      <c r="F879" s="146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156"/>
      <c r="C880" s="157"/>
      <c r="D880" s="146"/>
      <c r="E880" s="146"/>
      <c r="F880" s="146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156"/>
      <c r="C881" s="157"/>
      <c r="D881" s="146"/>
      <c r="E881" s="146"/>
      <c r="F881" s="146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156"/>
      <c r="C882" s="157"/>
      <c r="D882" s="146"/>
      <c r="E882" s="146"/>
      <c r="F882" s="146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156"/>
      <c r="C883" s="157"/>
      <c r="D883" s="146"/>
      <c r="E883" s="146"/>
      <c r="F883" s="146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156"/>
      <c r="C884" s="157"/>
      <c r="D884" s="146"/>
      <c r="E884" s="146"/>
      <c r="F884" s="146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156"/>
      <c r="C885" s="157"/>
      <c r="D885" s="146"/>
      <c r="E885" s="146"/>
      <c r="F885" s="146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156"/>
      <c r="C886" s="157"/>
      <c r="D886" s="146"/>
      <c r="E886" s="146"/>
      <c r="F886" s="146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156"/>
      <c r="C887" s="157"/>
      <c r="D887" s="146"/>
      <c r="E887" s="146"/>
      <c r="F887" s="146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156"/>
      <c r="C888" s="157"/>
      <c r="D888" s="146"/>
      <c r="E888" s="146"/>
      <c r="F888" s="146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156"/>
      <c r="C889" s="157"/>
      <c r="D889" s="146"/>
      <c r="E889" s="146"/>
      <c r="F889" s="146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156"/>
      <c r="C890" s="157"/>
      <c r="D890" s="146"/>
      <c r="E890" s="146"/>
      <c r="F890" s="146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156"/>
      <c r="C891" s="157"/>
      <c r="D891" s="146"/>
      <c r="E891" s="146"/>
      <c r="F891" s="146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156"/>
      <c r="C892" s="157"/>
      <c r="D892" s="146"/>
      <c r="E892" s="146"/>
      <c r="F892" s="146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156"/>
      <c r="C893" s="157"/>
      <c r="D893" s="146"/>
      <c r="E893" s="146"/>
      <c r="F893" s="146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156"/>
      <c r="C894" s="157"/>
      <c r="D894" s="146"/>
      <c r="E894" s="146"/>
      <c r="F894" s="146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156"/>
      <c r="C895" s="157"/>
      <c r="D895" s="146"/>
      <c r="E895" s="146"/>
      <c r="F895" s="146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156"/>
      <c r="C896" s="157"/>
      <c r="D896" s="146"/>
      <c r="E896" s="146"/>
      <c r="F896" s="146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156"/>
      <c r="C897" s="157"/>
      <c r="D897" s="146"/>
      <c r="E897" s="146"/>
      <c r="F897" s="146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156"/>
      <c r="C898" s="157"/>
      <c r="D898" s="146"/>
      <c r="E898" s="146"/>
      <c r="F898" s="146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156"/>
      <c r="C899" s="157"/>
      <c r="D899" s="146"/>
      <c r="E899" s="146"/>
      <c r="F899" s="146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156"/>
      <c r="C900" s="157"/>
      <c r="D900" s="146"/>
      <c r="E900" s="146"/>
      <c r="F900" s="146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156"/>
      <c r="C901" s="157"/>
      <c r="D901" s="146"/>
      <c r="E901" s="146"/>
      <c r="F901" s="146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156"/>
      <c r="C902" s="157"/>
      <c r="D902" s="146"/>
      <c r="E902" s="146"/>
      <c r="F902" s="146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156"/>
      <c r="C903" s="157"/>
      <c r="D903" s="146"/>
      <c r="E903" s="146"/>
      <c r="F903" s="146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156"/>
      <c r="C904" s="157"/>
      <c r="D904" s="146"/>
      <c r="E904" s="146"/>
      <c r="F904" s="146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156"/>
      <c r="C905" s="157"/>
      <c r="D905" s="146"/>
      <c r="E905" s="146"/>
      <c r="F905" s="146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156"/>
      <c r="C906" s="157"/>
      <c r="D906" s="146"/>
      <c r="E906" s="146"/>
      <c r="F906" s="146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156"/>
      <c r="C907" s="157"/>
      <c r="D907" s="146"/>
      <c r="E907" s="146"/>
      <c r="F907" s="146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156"/>
      <c r="C908" s="157"/>
      <c r="D908" s="146"/>
      <c r="E908" s="146"/>
      <c r="F908" s="146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156"/>
      <c r="C909" s="157"/>
      <c r="D909" s="146"/>
      <c r="E909" s="146"/>
      <c r="F909" s="146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156"/>
      <c r="C910" s="157"/>
      <c r="D910" s="146"/>
      <c r="E910" s="146"/>
      <c r="F910" s="146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156"/>
      <c r="C911" s="157"/>
      <c r="D911" s="146"/>
      <c r="E911" s="146"/>
      <c r="F911" s="146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156"/>
      <c r="C912" s="157"/>
      <c r="D912" s="146"/>
      <c r="E912" s="146"/>
      <c r="F912" s="146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156"/>
      <c r="C913" s="157"/>
      <c r="D913" s="146"/>
      <c r="E913" s="146"/>
      <c r="F913" s="146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156"/>
      <c r="C914" s="157"/>
      <c r="D914" s="146"/>
      <c r="E914" s="146"/>
      <c r="F914" s="146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156"/>
      <c r="C915" s="157"/>
      <c r="D915" s="146"/>
      <c r="E915" s="146"/>
      <c r="F915" s="146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156"/>
      <c r="C916" s="157"/>
      <c r="D916" s="146"/>
      <c r="E916" s="146"/>
      <c r="F916" s="146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156"/>
      <c r="C917" s="157"/>
      <c r="D917" s="146"/>
      <c r="E917" s="146"/>
      <c r="F917" s="146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156"/>
      <c r="C918" s="157"/>
      <c r="D918" s="146"/>
      <c r="E918" s="146"/>
      <c r="F918" s="146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156"/>
      <c r="C919" s="157"/>
      <c r="D919" s="146"/>
      <c r="E919" s="146"/>
      <c r="F919" s="146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156"/>
      <c r="C920" s="157"/>
      <c r="D920" s="146"/>
      <c r="E920" s="146"/>
      <c r="F920" s="146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156"/>
      <c r="C921" s="157"/>
      <c r="D921" s="146"/>
      <c r="E921" s="146"/>
      <c r="F921" s="146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156"/>
      <c r="C922" s="157"/>
      <c r="D922" s="146"/>
      <c r="E922" s="146"/>
      <c r="F922" s="146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156"/>
      <c r="C923" s="157"/>
      <c r="D923" s="146"/>
      <c r="E923" s="146"/>
      <c r="F923" s="146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156"/>
      <c r="C924" s="157"/>
      <c r="D924" s="146"/>
      <c r="E924" s="146"/>
      <c r="F924" s="146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156"/>
      <c r="C925" s="157"/>
      <c r="D925" s="146"/>
      <c r="E925" s="146"/>
      <c r="F925" s="146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156"/>
      <c r="C926" s="157"/>
      <c r="D926" s="146"/>
      <c r="E926" s="146"/>
      <c r="F926" s="146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156"/>
      <c r="C927" s="157"/>
      <c r="D927" s="146"/>
      <c r="E927" s="146"/>
      <c r="F927" s="146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156"/>
      <c r="C928" s="157"/>
      <c r="D928" s="146"/>
      <c r="E928" s="146"/>
      <c r="F928" s="146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156"/>
      <c r="C929" s="157"/>
      <c r="D929" s="146"/>
      <c r="E929" s="146"/>
      <c r="F929" s="146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156"/>
      <c r="C930" s="157"/>
      <c r="D930" s="146"/>
      <c r="E930" s="146"/>
      <c r="F930" s="146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156"/>
      <c r="C931" s="157"/>
      <c r="D931" s="146"/>
      <c r="E931" s="146"/>
      <c r="F931" s="146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156"/>
      <c r="C932" s="157"/>
      <c r="D932" s="146"/>
      <c r="E932" s="146"/>
      <c r="F932" s="146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156"/>
      <c r="C933" s="157"/>
      <c r="D933" s="146"/>
      <c r="E933" s="146"/>
      <c r="F933" s="146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156"/>
      <c r="C934" s="157"/>
      <c r="D934" s="146"/>
      <c r="E934" s="146"/>
      <c r="F934" s="146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156"/>
      <c r="C935" s="157"/>
      <c r="D935" s="146"/>
      <c r="E935" s="146"/>
      <c r="F935" s="146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156"/>
      <c r="C936" s="157"/>
      <c r="D936" s="146"/>
      <c r="E936" s="146"/>
      <c r="F936" s="146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156"/>
      <c r="C937" s="157"/>
      <c r="D937" s="146"/>
      <c r="E937" s="146"/>
      <c r="F937" s="146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156"/>
      <c r="C938" s="157"/>
      <c r="D938" s="146"/>
      <c r="E938" s="146"/>
      <c r="F938" s="146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156"/>
      <c r="C939" s="157"/>
      <c r="D939" s="146"/>
      <c r="E939" s="146"/>
      <c r="F939" s="146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156"/>
      <c r="C940" s="157"/>
      <c r="D940" s="146"/>
      <c r="E940" s="146"/>
      <c r="F940" s="146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156"/>
      <c r="C941" s="157"/>
      <c r="D941" s="146"/>
      <c r="E941" s="146"/>
      <c r="F941" s="146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156"/>
      <c r="C942" s="157"/>
      <c r="D942" s="146"/>
      <c r="E942" s="146"/>
      <c r="F942" s="146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156"/>
      <c r="C943" s="157"/>
      <c r="D943" s="146"/>
      <c r="E943" s="146"/>
      <c r="F943" s="146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156"/>
      <c r="C944" s="157"/>
      <c r="D944" s="146"/>
      <c r="E944" s="146"/>
      <c r="F944" s="146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156"/>
      <c r="C945" s="157"/>
      <c r="D945" s="146"/>
      <c r="E945" s="146"/>
      <c r="F945" s="146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156"/>
      <c r="C946" s="157"/>
      <c r="D946" s="146"/>
      <c r="E946" s="146"/>
      <c r="F946" s="146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156"/>
      <c r="C947" s="157"/>
      <c r="D947" s="146"/>
      <c r="E947" s="146"/>
      <c r="F947" s="146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156"/>
      <c r="C948" s="157"/>
      <c r="D948" s="146"/>
      <c r="E948" s="146"/>
      <c r="F948" s="146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156"/>
      <c r="C949" s="157"/>
      <c r="D949" s="146"/>
      <c r="E949" s="146"/>
      <c r="F949" s="146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156"/>
      <c r="C950" s="157"/>
      <c r="D950" s="146"/>
      <c r="E950" s="146"/>
      <c r="F950" s="146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156"/>
      <c r="C951" s="157"/>
      <c r="D951" s="146"/>
      <c r="E951" s="146"/>
      <c r="F951" s="146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156"/>
      <c r="C952" s="157"/>
      <c r="D952" s="146"/>
      <c r="E952" s="146"/>
      <c r="F952" s="146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156"/>
      <c r="C953" s="157"/>
      <c r="D953" s="146"/>
      <c r="E953" s="146"/>
      <c r="F953" s="146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156"/>
      <c r="C954" s="157"/>
      <c r="D954" s="146"/>
      <c r="E954" s="146"/>
      <c r="F954" s="146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156"/>
      <c r="C955" s="157"/>
      <c r="D955" s="146"/>
      <c r="E955" s="146"/>
      <c r="F955" s="146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156"/>
      <c r="C956" s="157"/>
      <c r="D956" s="146"/>
      <c r="E956" s="146"/>
      <c r="F956" s="146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156"/>
      <c r="C957" s="157"/>
      <c r="D957" s="146"/>
      <c r="E957" s="146"/>
      <c r="F957" s="146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156"/>
      <c r="C958" s="157"/>
      <c r="D958" s="146"/>
      <c r="E958" s="146"/>
      <c r="F958" s="146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156"/>
      <c r="C959" s="157"/>
      <c r="D959" s="146"/>
      <c r="E959" s="146"/>
      <c r="F959" s="146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156"/>
      <c r="C960" s="157"/>
      <c r="D960" s="146"/>
      <c r="E960" s="146"/>
      <c r="F960" s="146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156"/>
      <c r="C961" s="157"/>
      <c r="D961" s="146"/>
      <c r="E961" s="146"/>
      <c r="F961" s="146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156"/>
      <c r="C962" s="157"/>
      <c r="D962" s="146"/>
      <c r="E962" s="146"/>
      <c r="F962" s="146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156"/>
      <c r="C963" s="157"/>
      <c r="D963" s="146"/>
      <c r="E963" s="146"/>
      <c r="F963" s="146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156"/>
      <c r="C964" s="157"/>
      <c r="D964" s="146"/>
      <c r="E964" s="146"/>
      <c r="F964" s="146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156"/>
      <c r="C965" s="157"/>
      <c r="D965" s="146"/>
      <c r="E965" s="146"/>
      <c r="F965" s="146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156"/>
      <c r="C966" s="157"/>
      <c r="D966" s="146"/>
      <c r="E966" s="146"/>
      <c r="F966" s="146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156"/>
      <c r="C967" s="157"/>
      <c r="D967" s="146"/>
      <c r="E967" s="146"/>
      <c r="F967" s="146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156"/>
      <c r="C968" s="157"/>
      <c r="D968" s="146"/>
      <c r="E968" s="146"/>
      <c r="F968" s="146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156"/>
      <c r="C969" s="157"/>
      <c r="D969" s="146"/>
      <c r="E969" s="146"/>
      <c r="F969" s="146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156"/>
      <c r="C970" s="157"/>
      <c r="D970" s="146"/>
      <c r="E970" s="146"/>
      <c r="F970" s="146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156"/>
      <c r="C971" s="157"/>
      <c r="D971" s="146"/>
      <c r="E971" s="146"/>
      <c r="F971" s="146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156"/>
      <c r="C972" s="157"/>
      <c r="D972" s="146"/>
      <c r="E972" s="146"/>
      <c r="F972" s="146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156"/>
      <c r="C973" s="157"/>
      <c r="D973" s="146"/>
      <c r="E973" s="146"/>
      <c r="F973" s="146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156"/>
      <c r="C974" s="157"/>
      <c r="D974" s="146"/>
      <c r="E974" s="146"/>
      <c r="F974" s="146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156"/>
      <c r="C975" s="157"/>
      <c r="D975" s="146"/>
      <c r="E975" s="146"/>
      <c r="F975" s="146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156"/>
      <c r="C976" s="157"/>
      <c r="D976" s="146"/>
      <c r="E976" s="146"/>
      <c r="F976" s="146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156"/>
      <c r="C977" s="157"/>
      <c r="D977" s="146"/>
      <c r="E977" s="146"/>
      <c r="F977" s="146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156"/>
      <c r="C978" s="157"/>
      <c r="D978" s="146"/>
      <c r="E978" s="146"/>
      <c r="F978" s="146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156"/>
      <c r="C979" s="157"/>
      <c r="D979" s="146"/>
      <c r="E979" s="146"/>
      <c r="F979" s="146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156"/>
      <c r="C980" s="157"/>
      <c r="D980" s="146"/>
      <c r="E980" s="146"/>
      <c r="F980" s="146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156"/>
      <c r="C981" s="157"/>
      <c r="D981" s="146"/>
      <c r="E981" s="146"/>
      <c r="F981" s="146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156"/>
      <c r="C982" s="157"/>
      <c r="D982" s="146"/>
      <c r="E982" s="146"/>
      <c r="F982" s="146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156"/>
      <c r="C983" s="157"/>
      <c r="D983" s="146"/>
      <c r="E983" s="146"/>
      <c r="F983" s="146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156"/>
      <c r="C984" s="157"/>
      <c r="D984" s="146"/>
      <c r="E984" s="146"/>
      <c r="F984" s="146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156"/>
      <c r="C985" s="157"/>
      <c r="D985" s="146"/>
      <c r="E985" s="146"/>
      <c r="F985" s="146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156"/>
      <c r="C986" s="157"/>
      <c r="D986" s="146"/>
      <c r="E986" s="146"/>
      <c r="F986" s="146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156"/>
      <c r="C987" s="157"/>
      <c r="D987" s="146"/>
      <c r="E987" s="146"/>
      <c r="F987" s="146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156"/>
      <c r="C988" s="157"/>
      <c r="D988" s="146"/>
      <c r="E988" s="146"/>
      <c r="F988" s="146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156"/>
      <c r="C989" s="157"/>
      <c r="D989" s="146"/>
      <c r="E989" s="146"/>
      <c r="F989" s="146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156"/>
      <c r="C990" s="157"/>
      <c r="D990" s="146"/>
      <c r="E990" s="146"/>
      <c r="F990" s="146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156"/>
      <c r="C991" s="157"/>
      <c r="D991" s="146"/>
      <c r="E991" s="146"/>
      <c r="F991" s="146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156"/>
      <c r="C992" s="157"/>
      <c r="D992" s="146"/>
      <c r="E992" s="146"/>
      <c r="F992" s="146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156"/>
      <c r="C993" s="157"/>
      <c r="D993" s="146"/>
      <c r="E993" s="146"/>
      <c r="F993" s="146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156"/>
      <c r="C994" s="157"/>
      <c r="D994" s="146"/>
      <c r="E994" s="146"/>
      <c r="F994" s="146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156"/>
      <c r="C995" s="157"/>
      <c r="D995" s="146"/>
      <c r="E995" s="146"/>
      <c r="F995" s="146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156"/>
      <c r="C996" s="157"/>
      <c r="D996" s="146"/>
      <c r="E996" s="146"/>
      <c r="F996" s="146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156"/>
      <c r="C997" s="157"/>
      <c r="D997" s="146"/>
      <c r="E997" s="146"/>
      <c r="F997" s="146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156"/>
      <c r="C998" s="157"/>
      <c r="D998" s="146"/>
      <c r="E998" s="146"/>
      <c r="F998" s="146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156"/>
      <c r="C999" s="157"/>
      <c r="D999" s="146"/>
      <c r="E999" s="146"/>
      <c r="F999" s="146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156"/>
      <c r="C1000" s="157"/>
      <c r="D1000" s="146"/>
      <c r="E1000" s="146"/>
      <c r="F1000" s="146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  <row r="1001">
      <c r="A1001" s="67"/>
      <c r="B1001" s="156"/>
      <c r="C1001" s="157"/>
      <c r="D1001" s="146"/>
      <c r="E1001" s="146"/>
      <c r="F1001" s="146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</row>
    <row r="1002">
      <c r="A1002" s="67"/>
      <c r="B1002" s="156"/>
      <c r="C1002" s="157"/>
      <c r="D1002" s="146"/>
      <c r="E1002" s="146"/>
      <c r="F1002" s="146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</row>
    <row r="1003">
      <c r="A1003" s="67"/>
      <c r="B1003" s="156"/>
      <c r="C1003" s="157"/>
      <c r="D1003" s="146"/>
      <c r="E1003" s="146"/>
      <c r="F1003" s="146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</row>
    <row r="1004">
      <c r="A1004" s="67"/>
      <c r="B1004" s="156"/>
      <c r="C1004" s="157"/>
      <c r="D1004" s="146"/>
      <c r="E1004" s="146"/>
      <c r="F1004" s="146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</row>
    <row r="1005">
      <c r="A1005" s="67"/>
      <c r="B1005" s="156"/>
      <c r="C1005" s="157"/>
      <c r="D1005" s="146"/>
      <c r="E1005" s="146"/>
      <c r="F1005" s="146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</row>
    <row r="1006">
      <c r="A1006" s="67"/>
      <c r="B1006" s="156"/>
      <c r="C1006" s="157"/>
      <c r="D1006" s="146"/>
      <c r="E1006" s="146"/>
      <c r="F1006" s="146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</row>
    <row r="1007">
      <c r="A1007" s="67"/>
      <c r="B1007" s="156"/>
      <c r="C1007" s="157"/>
      <c r="D1007" s="146"/>
      <c r="E1007" s="146"/>
      <c r="F1007" s="146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</row>
    <row r="1008">
      <c r="A1008" s="67"/>
      <c r="B1008" s="156"/>
      <c r="C1008" s="157"/>
      <c r="D1008" s="146"/>
      <c r="E1008" s="146"/>
      <c r="F1008" s="146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</row>
    <row r="1009">
      <c r="A1009" s="67"/>
      <c r="B1009" s="156"/>
      <c r="C1009" s="157"/>
      <c r="D1009" s="146"/>
      <c r="E1009" s="146"/>
      <c r="F1009" s="146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</row>
    <row r="1010">
      <c r="A1010" s="67"/>
      <c r="B1010" s="156"/>
      <c r="C1010" s="157"/>
      <c r="D1010" s="146"/>
      <c r="E1010" s="146"/>
      <c r="F1010" s="146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</row>
    <row r="1011">
      <c r="A1011" s="67"/>
      <c r="B1011" s="156"/>
      <c r="C1011" s="157"/>
      <c r="D1011" s="146"/>
      <c r="E1011" s="146"/>
      <c r="F1011" s="146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</row>
    <row r="1012">
      <c r="A1012" s="67"/>
      <c r="B1012" s="156"/>
      <c r="C1012" s="157"/>
      <c r="D1012" s="146"/>
      <c r="E1012" s="146"/>
      <c r="F1012" s="146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</row>
    <row r="1013">
      <c r="A1013" s="67"/>
      <c r="B1013" s="156"/>
      <c r="C1013" s="157"/>
      <c r="D1013" s="146"/>
      <c r="E1013" s="146"/>
      <c r="F1013" s="146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</row>
    <row r="1014">
      <c r="A1014" s="67"/>
      <c r="B1014" s="156"/>
      <c r="C1014" s="157"/>
      <c r="D1014" s="146"/>
      <c r="E1014" s="146"/>
      <c r="F1014" s="146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</row>
    <row r="1015">
      <c r="A1015" s="67"/>
      <c r="B1015" s="156"/>
      <c r="C1015" s="157"/>
      <c r="D1015" s="146"/>
      <c r="E1015" s="146"/>
      <c r="F1015" s="146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</row>
    <row r="1016">
      <c r="A1016" s="67"/>
      <c r="B1016" s="156"/>
      <c r="C1016" s="157"/>
      <c r="D1016" s="146"/>
      <c r="E1016" s="146"/>
      <c r="F1016" s="146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</row>
    <row r="1017">
      <c r="A1017" s="67"/>
      <c r="B1017" s="156"/>
      <c r="C1017" s="157"/>
      <c r="D1017" s="146"/>
      <c r="E1017" s="146"/>
      <c r="F1017" s="146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</row>
    <row r="1018">
      <c r="A1018" s="67"/>
      <c r="B1018" s="156"/>
      <c r="C1018" s="157"/>
      <c r="D1018" s="146"/>
      <c r="E1018" s="146"/>
      <c r="F1018" s="146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</row>
    <row r="1019">
      <c r="A1019" s="67"/>
      <c r="B1019" s="156"/>
      <c r="C1019" s="157"/>
      <c r="D1019" s="146"/>
      <c r="E1019" s="146"/>
      <c r="F1019" s="146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</row>
    <row r="1020">
      <c r="A1020" s="67"/>
      <c r="B1020" s="156"/>
      <c r="C1020" s="157"/>
      <c r="D1020" s="146"/>
      <c r="E1020" s="146"/>
      <c r="F1020" s="146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</row>
    <row r="1021">
      <c r="A1021" s="67"/>
      <c r="B1021" s="156"/>
      <c r="C1021" s="157"/>
      <c r="D1021" s="146"/>
      <c r="E1021" s="146"/>
      <c r="F1021" s="146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</row>
    <row r="1022">
      <c r="A1022" s="67"/>
      <c r="B1022" s="156"/>
      <c r="C1022" s="157"/>
      <c r="D1022" s="146"/>
      <c r="E1022" s="146"/>
      <c r="F1022" s="146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</row>
    <row r="1023">
      <c r="A1023" s="67"/>
      <c r="B1023" s="156"/>
      <c r="C1023" s="157"/>
      <c r="D1023" s="146"/>
      <c r="E1023" s="146"/>
      <c r="F1023" s="146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</row>
    <row r="1024">
      <c r="A1024" s="67"/>
      <c r="B1024" s="156"/>
      <c r="C1024" s="157"/>
      <c r="D1024" s="146"/>
      <c r="E1024" s="146"/>
      <c r="F1024" s="146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</row>
    <row r="1025">
      <c r="A1025" s="67"/>
      <c r="B1025" s="156"/>
      <c r="C1025" s="157"/>
      <c r="D1025" s="146"/>
      <c r="E1025" s="146"/>
      <c r="F1025" s="146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</row>
    <row r="1026">
      <c r="A1026" s="67"/>
      <c r="B1026" s="156"/>
      <c r="C1026" s="157"/>
      <c r="D1026" s="146"/>
      <c r="E1026" s="146"/>
      <c r="F1026" s="146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</row>
    <row r="1027">
      <c r="A1027" s="67"/>
      <c r="B1027" s="156"/>
      <c r="C1027" s="157"/>
      <c r="D1027" s="146"/>
      <c r="E1027" s="146"/>
      <c r="F1027" s="146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</row>
    <row r="1028">
      <c r="A1028" s="67"/>
      <c r="B1028" s="156"/>
      <c r="C1028" s="157"/>
      <c r="D1028" s="146"/>
      <c r="E1028" s="146"/>
      <c r="F1028" s="146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</row>
    <row r="1029">
      <c r="A1029" s="67"/>
      <c r="B1029" s="156"/>
      <c r="C1029" s="157"/>
      <c r="D1029" s="146"/>
      <c r="E1029" s="146"/>
      <c r="F1029" s="146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</row>
    <row r="1030">
      <c r="A1030" s="67"/>
      <c r="B1030" s="156"/>
      <c r="C1030" s="157"/>
      <c r="D1030" s="146"/>
      <c r="E1030" s="146"/>
      <c r="F1030" s="146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</row>
    <row r="1031">
      <c r="A1031" s="67"/>
      <c r="B1031" s="156"/>
      <c r="C1031" s="157"/>
      <c r="D1031" s="146"/>
      <c r="E1031" s="146"/>
      <c r="F1031" s="146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  <c r="Z1031" s="67"/>
    </row>
    <row r="1032">
      <c r="A1032" s="67"/>
      <c r="B1032" s="156"/>
      <c r="C1032" s="157"/>
      <c r="D1032" s="146"/>
      <c r="E1032" s="146"/>
      <c r="F1032" s="146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</row>
    <row r="1033">
      <c r="A1033" s="67"/>
      <c r="B1033" s="156"/>
      <c r="C1033" s="157"/>
      <c r="D1033" s="146"/>
      <c r="E1033" s="146"/>
      <c r="F1033" s="146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</row>
    <row r="1034">
      <c r="A1034" s="67"/>
      <c r="B1034" s="156"/>
      <c r="C1034" s="157"/>
      <c r="D1034" s="146"/>
      <c r="E1034" s="146"/>
      <c r="F1034" s="146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  <c r="Z1034" s="67"/>
    </row>
    <row r="1035">
      <c r="A1035" s="67"/>
      <c r="B1035" s="156"/>
      <c r="C1035" s="157"/>
      <c r="D1035" s="146"/>
      <c r="E1035" s="146"/>
      <c r="F1035" s="146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</row>
    <row r="1036">
      <c r="A1036" s="67"/>
      <c r="B1036" s="156"/>
      <c r="C1036" s="157"/>
      <c r="D1036" s="146"/>
      <c r="E1036" s="146"/>
      <c r="F1036" s="146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</row>
    <row r="1037">
      <c r="A1037" s="67"/>
      <c r="B1037" s="156"/>
      <c r="C1037" s="157"/>
      <c r="D1037" s="146"/>
      <c r="E1037" s="146"/>
      <c r="F1037" s="146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</row>
    <row r="1038">
      <c r="A1038" s="67"/>
      <c r="B1038" s="156"/>
      <c r="C1038" s="157"/>
      <c r="D1038" s="146"/>
      <c r="E1038" s="146"/>
      <c r="F1038" s="146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</row>
    <row r="1039">
      <c r="A1039" s="67"/>
      <c r="B1039" s="156"/>
      <c r="C1039" s="157"/>
      <c r="D1039" s="146"/>
      <c r="E1039" s="146"/>
      <c r="F1039" s="146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</row>
    <row r="1040">
      <c r="A1040" s="67"/>
      <c r="B1040" s="156"/>
      <c r="C1040" s="157"/>
      <c r="D1040" s="146"/>
      <c r="E1040" s="146"/>
      <c r="F1040" s="146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</row>
    <row r="1041">
      <c r="A1041" s="67"/>
      <c r="B1041" s="156"/>
      <c r="C1041" s="157"/>
      <c r="D1041" s="146"/>
      <c r="E1041" s="146"/>
      <c r="F1041" s="146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</row>
    <row r="1042">
      <c r="A1042" s="67"/>
      <c r="B1042" s="156"/>
      <c r="C1042" s="157"/>
      <c r="D1042" s="146"/>
      <c r="E1042" s="146"/>
      <c r="F1042" s="146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</row>
    <row r="1043">
      <c r="A1043" s="67"/>
      <c r="B1043" s="156"/>
      <c r="C1043" s="157"/>
      <c r="D1043" s="146"/>
      <c r="E1043" s="146"/>
      <c r="F1043" s="146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</row>
    <row r="1044">
      <c r="A1044" s="67"/>
      <c r="B1044" s="156"/>
      <c r="C1044" s="157"/>
      <c r="D1044" s="146"/>
      <c r="E1044" s="146"/>
      <c r="F1044" s="146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</row>
    <row r="1045">
      <c r="A1045" s="67"/>
      <c r="B1045" s="156"/>
      <c r="C1045" s="157"/>
      <c r="D1045" s="146"/>
      <c r="E1045" s="146"/>
      <c r="F1045" s="146"/>
      <c r="G1045" s="67"/>
      <c r="H1045" s="67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</row>
    <row r="1046">
      <c r="A1046" s="67"/>
      <c r="B1046" s="156"/>
      <c r="C1046" s="157"/>
      <c r="D1046" s="146"/>
      <c r="E1046" s="146"/>
      <c r="F1046" s="146"/>
      <c r="G1046" s="67"/>
      <c r="H1046" s="67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  <c r="X1046" s="67"/>
      <c r="Y1046" s="67"/>
      <c r="Z1046" s="67"/>
    </row>
    <row r="1047">
      <c r="A1047" s="67"/>
      <c r="B1047" s="156"/>
      <c r="C1047" s="157"/>
      <c r="D1047" s="146"/>
      <c r="E1047" s="146"/>
      <c r="F1047" s="146"/>
      <c r="G1047" s="67"/>
      <c r="H1047" s="67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  <c r="X1047" s="67"/>
      <c r="Y1047" s="67"/>
      <c r="Z1047" s="67"/>
    </row>
    <row r="1048">
      <c r="A1048" s="67"/>
      <c r="B1048" s="156"/>
      <c r="C1048" s="157"/>
      <c r="D1048" s="146"/>
      <c r="E1048" s="146"/>
      <c r="F1048" s="146"/>
      <c r="G1048" s="67"/>
      <c r="H1048" s="67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  <c r="X1048" s="67"/>
      <c r="Y1048" s="67"/>
      <c r="Z1048" s="67"/>
    </row>
    <row r="1049">
      <c r="A1049" s="67"/>
      <c r="B1049" s="156"/>
      <c r="C1049" s="157"/>
      <c r="D1049" s="146"/>
      <c r="E1049" s="146"/>
      <c r="F1049" s="146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  <c r="X1049" s="67"/>
      <c r="Y1049" s="67"/>
      <c r="Z1049" s="67"/>
    </row>
    <row r="1050">
      <c r="A1050" s="67"/>
      <c r="B1050" s="156"/>
      <c r="C1050" s="157"/>
      <c r="D1050" s="146"/>
      <c r="E1050" s="146"/>
      <c r="F1050" s="146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  <c r="X1050" s="67"/>
      <c r="Y1050" s="67"/>
      <c r="Z1050" s="67"/>
    </row>
    <row r="1051">
      <c r="A1051" s="67"/>
      <c r="B1051" s="156"/>
      <c r="C1051" s="157"/>
      <c r="D1051" s="146"/>
      <c r="E1051" s="146"/>
      <c r="F1051" s="146"/>
      <c r="G1051" s="67"/>
      <c r="H1051" s="67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  <c r="X1051" s="67"/>
      <c r="Y1051" s="67"/>
      <c r="Z1051" s="67"/>
    </row>
    <row r="1052">
      <c r="A1052" s="67"/>
      <c r="B1052" s="156"/>
      <c r="C1052" s="157"/>
      <c r="D1052" s="146"/>
      <c r="E1052" s="146"/>
      <c r="F1052" s="146"/>
      <c r="G1052" s="67"/>
      <c r="H1052" s="67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  <c r="X1052" s="67"/>
      <c r="Y1052" s="67"/>
      <c r="Z1052" s="67"/>
    </row>
    <row r="1053">
      <c r="A1053" s="67"/>
      <c r="B1053" s="156"/>
      <c r="C1053" s="157"/>
      <c r="D1053" s="146"/>
      <c r="E1053" s="146"/>
      <c r="F1053" s="146"/>
      <c r="G1053" s="67"/>
      <c r="H1053" s="67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  <c r="X1053" s="67"/>
      <c r="Y1053" s="67"/>
      <c r="Z1053" s="67"/>
    </row>
    <row r="1054">
      <c r="A1054" s="67"/>
      <c r="B1054" s="156"/>
      <c r="C1054" s="157"/>
      <c r="D1054" s="146"/>
      <c r="E1054" s="146"/>
      <c r="F1054" s="146"/>
      <c r="G1054" s="67"/>
      <c r="H1054" s="67"/>
      <c r="I1054" s="67"/>
      <c r="J1054" s="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  <c r="X1054" s="67"/>
      <c r="Y1054" s="67"/>
      <c r="Z1054" s="67"/>
    </row>
    <row r="1055">
      <c r="A1055" s="67"/>
      <c r="B1055" s="156"/>
      <c r="C1055" s="157"/>
      <c r="D1055" s="146"/>
      <c r="E1055" s="146"/>
      <c r="F1055" s="146"/>
      <c r="G1055" s="67"/>
      <c r="H1055" s="67"/>
      <c r="I1055" s="67"/>
      <c r="J1055" s="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  <c r="X1055" s="67"/>
      <c r="Y1055" s="67"/>
      <c r="Z1055" s="67"/>
    </row>
    <row r="1056">
      <c r="A1056" s="67"/>
      <c r="B1056" s="156"/>
      <c r="C1056" s="157"/>
      <c r="D1056" s="146"/>
      <c r="E1056" s="146"/>
      <c r="F1056" s="146"/>
      <c r="G1056" s="67"/>
      <c r="H1056" s="67"/>
      <c r="I1056" s="67"/>
      <c r="J1056" s="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  <c r="X1056" s="67"/>
      <c r="Y1056" s="67"/>
      <c r="Z1056" s="67"/>
    </row>
    <row r="1057">
      <c r="A1057" s="67"/>
      <c r="B1057" s="156"/>
      <c r="C1057" s="157"/>
      <c r="D1057" s="146"/>
      <c r="E1057" s="146"/>
      <c r="F1057" s="146"/>
      <c r="G1057" s="67"/>
      <c r="H1057" s="67"/>
      <c r="I1057" s="67"/>
      <c r="J1057" s="67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  <c r="W1057" s="67"/>
      <c r="X1057" s="67"/>
      <c r="Y1057" s="67"/>
      <c r="Z1057" s="67"/>
    </row>
    <row r="1058">
      <c r="A1058" s="67"/>
      <c r="B1058" s="156"/>
      <c r="C1058" s="157"/>
      <c r="D1058" s="146"/>
      <c r="E1058" s="146"/>
      <c r="F1058" s="146"/>
      <c r="G1058" s="67"/>
      <c r="H1058" s="67"/>
      <c r="I1058" s="67"/>
      <c r="J1058" s="67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  <c r="W1058" s="67"/>
      <c r="X1058" s="67"/>
      <c r="Y1058" s="67"/>
      <c r="Z1058" s="67"/>
    </row>
    <row r="1059">
      <c r="A1059" s="67"/>
      <c r="B1059" s="156"/>
      <c r="C1059" s="157"/>
      <c r="D1059" s="146"/>
      <c r="E1059" s="146"/>
      <c r="F1059" s="146"/>
      <c r="G1059" s="67"/>
      <c r="H1059" s="67"/>
      <c r="I1059" s="67"/>
      <c r="J1059" s="67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  <c r="W1059" s="67"/>
      <c r="X1059" s="67"/>
      <c r="Y1059" s="67"/>
      <c r="Z1059" s="67"/>
    </row>
    <row r="1060">
      <c r="A1060" s="67"/>
      <c r="B1060" s="156"/>
      <c r="C1060" s="157"/>
      <c r="D1060" s="146"/>
      <c r="E1060" s="146"/>
      <c r="F1060" s="146"/>
      <c r="G1060" s="67"/>
      <c r="H1060" s="67"/>
      <c r="I1060" s="67"/>
      <c r="J1060" s="67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  <c r="X1060" s="67"/>
      <c r="Y1060" s="67"/>
      <c r="Z1060" s="67"/>
    </row>
    <row r="1061">
      <c r="A1061" s="67"/>
      <c r="B1061" s="156"/>
      <c r="C1061" s="157"/>
      <c r="D1061" s="146"/>
      <c r="E1061" s="146"/>
      <c r="F1061" s="146"/>
      <c r="G1061" s="67"/>
      <c r="H1061" s="67"/>
      <c r="I1061" s="67"/>
      <c r="J1061" s="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  <c r="X1061" s="67"/>
      <c r="Y1061" s="67"/>
      <c r="Z1061" s="67"/>
    </row>
    <row r="1062">
      <c r="A1062" s="67"/>
      <c r="B1062" s="156"/>
      <c r="C1062" s="157"/>
      <c r="D1062" s="146"/>
      <c r="E1062" s="146"/>
      <c r="F1062" s="146"/>
      <c r="G1062" s="67"/>
      <c r="H1062" s="67"/>
      <c r="I1062" s="67"/>
      <c r="J1062" s="67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  <c r="X1062" s="67"/>
      <c r="Y1062" s="67"/>
      <c r="Z1062" s="67"/>
    </row>
    <row r="1063">
      <c r="A1063" s="67"/>
      <c r="B1063" s="156"/>
      <c r="C1063" s="157"/>
      <c r="D1063" s="146"/>
      <c r="E1063" s="146"/>
      <c r="F1063" s="146"/>
      <c r="G1063" s="67"/>
      <c r="H1063" s="67"/>
      <c r="I1063" s="67"/>
      <c r="J1063" s="67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  <c r="W1063" s="67"/>
      <c r="X1063" s="67"/>
      <c r="Y1063" s="67"/>
      <c r="Z1063" s="67"/>
    </row>
    <row r="1064">
      <c r="A1064" s="67"/>
      <c r="B1064" s="156"/>
      <c r="C1064" s="157"/>
      <c r="D1064" s="146"/>
      <c r="E1064" s="146"/>
      <c r="F1064" s="146"/>
      <c r="G1064" s="67"/>
      <c r="H1064" s="67"/>
      <c r="I1064" s="67"/>
      <c r="J1064" s="67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  <c r="X1064" s="67"/>
      <c r="Y1064" s="67"/>
      <c r="Z1064" s="67"/>
    </row>
    <row r="1065">
      <c r="A1065" s="67"/>
      <c r="B1065" s="156"/>
      <c r="C1065" s="157"/>
      <c r="D1065" s="146"/>
      <c r="E1065" s="146"/>
      <c r="F1065" s="146"/>
      <c r="G1065" s="67"/>
      <c r="H1065" s="67"/>
      <c r="I1065" s="67"/>
      <c r="J1065" s="67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  <c r="X1065" s="67"/>
      <c r="Y1065" s="67"/>
      <c r="Z1065" s="67"/>
    </row>
    <row r="1066">
      <c r="A1066" s="67"/>
      <c r="B1066" s="156"/>
      <c r="C1066" s="157"/>
      <c r="D1066" s="146"/>
      <c r="E1066" s="146"/>
      <c r="F1066" s="146"/>
      <c r="G1066" s="67"/>
      <c r="H1066" s="67"/>
      <c r="I1066" s="67"/>
      <c r="J1066" s="67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  <c r="X1066" s="67"/>
      <c r="Y1066" s="67"/>
      <c r="Z1066" s="67"/>
    </row>
    <row r="1067">
      <c r="A1067" s="67"/>
      <c r="B1067" s="156"/>
      <c r="C1067" s="157"/>
      <c r="D1067" s="146"/>
      <c r="E1067" s="146"/>
      <c r="F1067" s="146"/>
      <c r="G1067" s="67"/>
      <c r="H1067" s="67"/>
      <c r="I1067" s="67"/>
      <c r="J1067" s="67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  <c r="X1067" s="67"/>
      <c r="Y1067" s="67"/>
      <c r="Z1067" s="67"/>
    </row>
    <row r="1068">
      <c r="A1068" s="67"/>
      <c r="B1068" s="156"/>
      <c r="C1068" s="157"/>
      <c r="D1068" s="146"/>
      <c r="E1068" s="146"/>
      <c r="F1068" s="146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  <c r="X1068" s="67"/>
      <c r="Y1068" s="67"/>
      <c r="Z1068" s="67"/>
    </row>
    <row r="1069">
      <c r="A1069" s="67"/>
      <c r="B1069" s="156"/>
      <c r="C1069" s="157"/>
      <c r="D1069" s="146"/>
      <c r="E1069" s="146"/>
      <c r="F1069" s="146"/>
      <c r="G1069" s="67"/>
      <c r="H1069" s="67"/>
      <c r="I1069" s="67"/>
      <c r="J1069" s="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  <c r="X1069" s="67"/>
      <c r="Y1069" s="67"/>
      <c r="Z1069" s="67"/>
    </row>
    <row r="1070">
      <c r="A1070" s="67"/>
      <c r="B1070" s="156"/>
      <c r="C1070" s="157"/>
      <c r="D1070" s="146"/>
      <c r="E1070" s="146"/>
      <c r="F1070" s="146"/>
      <c r="G1070" s="67"/>
      <c r="H1070" s="67"/>
      <c r="I1070" s="67"/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  <c r="X1070" s="67"/>
      <c r="Y1070" s="67"/>
      <c r="Z1070" s="67"/>
    </row>
    <row r="1071">
      <c r="A1071" s="67"/>
      <c r="B1071" s="156"/>
      <c r="C1071" s="157"/>
      <c r="D1071" s="146"/>
      <c r="E1071" s="146"/>
      <c r="F1071" s="146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  <c r="X1071" s="67"/>
      <c r="Y1071" s="67"/>
      <c r="Z1071" s="67"/>
    </row>
    <row r="1072">
      <c r="A1072" s="67"/>
      <c r="B1072" s="156"/>
      <c r="C1072" s="157"/>
      <c r="D1072" s="146"/>
      <c r="E1072" s="146"/>
      <c r="F1072" s="146"/>
      <c r="G1072" s="67"/>
      <c r="H1072" s="67"/>
      <c r="I1072" s="67"/>
      <c r="J1072" s="67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  <c r="X1072" s="67"/>
      <c r="Y1072" s="67"/>
      <c r="Z1072" s="67"/>
    </row>
    <row r="1073">
      <c r="A1073" s="67"/>
      <c r="B1073" s="156"/>
      <c r="C1073" s="157"/>
      <c r="D1073" s="146"/>
      <c r="E1073" s="146"/>
      <c r="F1073" s="146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  <c r="X1073" s="67"/>
      <c r="Y1073" s="67"/>
      <c r="Z1073" s="67"/>
    </row>
    <row r="1074">
      <c r="A1074" s="67"/>
      <c r="B1074" s="156"/>
      <c r="C1074" s="157"/>
      <c r="D1074" s="146"/>
      <c r="E1074" s="146"/>
      <c r="F1074" s="146"/>
      <c r="G1074" s="67"/>
      <c r="H1074" s="67"/>
      <c r="I1074" s="67"/>
      <c r="J1074" s="67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  <c r="X1074" s="67"/>
      <c r="Y1074" s="67"/>
      <c r="Z1074" s="67"/>
    </row>
    <row r="1075">
      <c r="A1075" s="67"/>
      <c r="B1075" s="156"/>
      <c r="C1075" s="157"/>
      <c r="D1075" s="146"/>
      <c r="E1075" s="146"/>
      <c r="F1075" s="146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</row>
    <row r="1076">
      <c r="A1076" s="67"/>
      <c r="B1076" s="156"/>
      <c r="C1076" s="157"/>
      <c r="D1076" s="146"/>
      <c r="E1076" s="146"/>
      <c r="F1076" s="146"/>
      <c r="G1076" s="67"/>
      <c r="H1076" s="67"/>
      <c r="I1076" s="67"/>
      <c r="J1076" s="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  <c r="X1076" s="67"/>
      <c r="Y1076" s="67"/>
      <c r="Z1076" s="67"/>
    </row>
    <row r="1077">
      <c r="A1077" s="67"/>
      <c r="B1077" s="156"/>
      <c r="C1077" s="157"/>
      <c r="D1077" s="146"/>
      <c r="E1077" s="146"/>
      <c r="F1077" s="146"/>
      <c r="G1077" s="67"/>
      <c r="H1077" s="67"/>
      <c r="I1077" s="67"/>
      <c r="J1077" s="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  <c r="X1077" s="67"/>
      <c r="Y1077" s="67"/>
      <c r="Z1077" s="67"/>
    </row>
    <row r="1078">
      <c r="A1078" s="67"/>
      <c r="B1078" s="156"/>
      <c r="C1078" s="157"/>
      <c r="D1078" s="146"/>
      <c r="E1078" s="146"/>
      <c r="F1078" s="146"/>
      <c r="G1078" s="67"/>
      <c r="H1078" s="67"/>
      <c r="I1078" s="67"/>
      <c r="J1078" s="67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  <c r="X1078" s="67"/>
      <c r="Y1078" s="67"/>
      <c r="Z1078" s="67"/>
    </row>
    <row r="1079">
      <c r="A1079" s="67"/>
      <c r="B1079" s="156"/>
      <c r="C1079" s="157"/>
      <c r="D1079" s="146"/>
      <c r="E1079" s="146"/>
      <c r="F1079" s="146"/>
      <c r="G1079" s="67"/>
      <c r="H1079" s="67"/>
      <c r="I1079" s="67"/>
      <c r="J1079" s="67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  <c r="X1079" s="67"/>
      <c r="Y1079" s="67"/>
      <c r="Z1079" s="67"/>
    </row>
    <row r="1080">
      <c r="A1080" s="67"/>
      <c r="B1080" s="156"/>
      <c r="C1080" s="157"/>
      <c r="D1080" s="146"/>
      <c r="E1080" s="146"/>
      <c r="F1080" s="146"/>
      <c r="G1080" s="67"/>
      <c r="H1080" s="67"/>
      <c r="I1080" s="67"/>
      <c r="J1080" s="67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  <c r="X1080" s="67"/>
      <c r="Y1080" s="67"/>
      <c r="Z1080" s="67"/>
    </row>
    <row r="1081">
      <c r="A1081" s="67"/>
      <c r="B1081" s="156"/>
      <c r="C1081" s="157"/>
      <c r="D1081" s="146"/>
      <c r="E1081" s="146"/>
      <c r="F1081" s="146"/>
      <c r="G1081" s="67"/>
      <c r="H1081" s="67"/>
      <c r="I1081" s="67"/>
      <c r="J1081" s="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  <c r="X1081" s="67"/>
      <c r="Y1081" s="67"/>
      <c r="Z1081" s="67"/>
    </row>
    <row r="1082">
      <c r="A1082" s="67"/>
      <c r="B1082" s="156"/>
      <c r="C1082" s="157"/>
      <c r="D1082" s="146"/>
      <c r="E1082" s="146"/>
      <c r="F1082" s="146"/>
      <c r="G1082" s="67"/>
      <c r="H1082" s="67"/>
      <c r="I1082" s="67"/>
      <c r="J1082" s="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  <c r="X1082" s="67"/>
      <c r="Y1082" s="67"/>
      <c r="Z1082" s="67"/>
    </row>
    <row r="1083">
      <c r="A1083" s="67"/>
      <c r="B1083" s="156"/>
      <c r="C1083" s="157"/>
      <c r="D1083" s="146"/>
      <c r="E1083" s="146"/>
      <c r="F1083" s="146"/>
      <c r="G1083" s="67"/>
      <c r="H1083" s="67"/>
      <c r="I1083" s="67"/>
      <c r="J1083" s="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  <c r="X1083" s="67"/>
      <c r="Y1083" s="67"/>
      <c r="Z1083" s="67"/>
    </row>
    <row r="1084">
      <c r="A1084" s="67"/>
      <c r="B1084" s="156"/>
      <c r="C1084" s="157"/>
      <c r="D1084" s="146"/>
      <c r="E1084" s="146"/>
      <c r="F1084" s="146"/>
      <c r="G1084" s="67"/>
      <c r="H1084" s="67"/>
      <c r="I1084" s="67"/>
      <c r="J1084" s="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  <c r="X1084" s="67"/>
      <c r="Y1084" s="67"/>
      <c r="Z1084" s="67"/>
    </row>
    <row r="1085">
      <c r="A1085" s="67"/>
      <c r="B1085" s="156"/>
      <c r="C1085" s="157"/>
      <c r="D1085" s="146"/>
      <c r="E1085" s="146"/>
      <c r="F1085" s="146"/>
      <c r="G1085" s="67"/>
      <c r="H1085" s="67"/>
      <c r="I1085" s="67"/>
      <c r="J1085" s="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  <c r="X1085" s="67"/>
      <c r="Y1085" s="67"/>
      <c r="Z1085" s="67"/>
    </row>
    <row r="1086">
      <c r="A1086" s="67"/>
      <c r="B1086" s="156"/>
      <c r="C1086" s="157"/>
      <c r="D1086" s="146"/>
      <c r="E1086" s="146"/>
      <c r="F1086" s="146"/>
      <c r="G1086" s="67"/>
      <c r="H1086" s="67"/>
      <c r="I1086" s="67"/>
      <c r="J1086" s="67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  <c r="X1086" s="67"/>
      <c r="Y1086" s="67"/>
      <c r="Z1086" s="67"/>
    </row>
    <row r="1087">
      <c r="A1087" s="67"/>
      <c r="B1087" s="156"/>
      <c r="C1087" s="157"/>
      <c r="D1087" s="146"/>
      <c r="E1087" s="146"/>
      <c r="F1087" s="146"/>
      <c r="G1087" s="67"/>
      <c r="H1087" s="67"/>
      <c r="I1087" s="67"/>
      <c r="J1087" s="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  <c r="X1087" s="67"/>
      <c r="Y1087" s="67"/>
      <c r="Z1087" s="67"/>
    </row>
    <row r="1088">
      <c r="A1088" s="67"/>
      <c r="B1088" s="156"/>
      <c r="C1088" s="157"/>
      <c r="D1088" s="146"/>
      <c r="E1088" s="146"/>
      <c r="F1088" s="146"/>
      <c r="G1088" s="67"/>
      <c r="H1088" s="67"/>
      <c r="I1088" s="67"/>
      <c r="J1088" s="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  <c r="X1088" s="67"/>
      <c r="Y1088" s="67"/>
      <c r="Z1088" s="67"/>
    </row>
  </sheetData>
  <conditionalFormatting sqref="A2:F1088">
    <cfRule type="expression" dxfId="4" priority="1">
      <formula>ISEVEN(QUOTIENT(ROW()-2, 5))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32.63"/>
  </cols>
  <sheetData>
    <row r="1">
      <c r="A1" s="176" t="s">
        <v>0</v>
      </c>
      <c r="B1" s="177" t="s">
        <v>1023</v>
      </c>
      <c r="C1" s="178"/>
      <c r="D1" s="178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>
      <c r="A2" s="180"/>
      <c r="B2" s="181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</row>
    <row r="3">
      <c r="A3" s="180">
        <v>46106.0</v>
      </c>
      <c r="B3" s="181" t="s">
        <v>1024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>
      <c r="A4" s="180"/>
      <c r="B4" s="181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>
      <c r="A5" s="180">
        <v>45741.0</v>
      </c>
      <c r="B5" s="181" t="s">
        <v>1025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>
      <c r="A6" s="182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>
      <c r="A7" s="182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>
      <c r="A8" s="182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>
      <c r="A9" s="182"/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>
      <c r="A10" s="182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>
      <c r="A11" s="182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>
      <c r="A12" s="182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>
      <c r="A13" s="182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>
      <c r="A14" s="182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>
      <c r="A15" s="182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>
      <c r="A16" s="182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>
      <c r="A17" s="182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>
      <c r="A18" s="182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>
      <c r="A19" s="182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>
      <c r="A20" s="182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>
      <c r="A21" s="182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>
      <c r="A22" s="182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>
      <c r="A23" s="182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>
      <c r="A24" s="182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>
      <c r="A25" s="182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>
      <c r="A26" s="182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</row>
    <row r="27">
      <c r="A27" s="182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>
      <c r="A28" s="182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>
      <c r="A29" s="182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>
      <c r="A30" s="182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>
      <c r="A31" s="182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>
      <c r="A32" s="182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  <row r="33">
      <c r="A33" s="182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>
      <c r="A34" s="182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</row>
    <row r="35">
      <c r="A35" s="182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</row>
    <row r="36">
      <c r="A36" s="182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</row>
    <row r="37">
      <c r="A37" s="182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>
      <c r="A38" s="182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</row>
    <row r="39">
      <c r="A39" s="182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</row>
    <row r="40">
      <c r="A40" s="182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</row>
    <row r="41">
      <c r="A41" s="182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>
      <c r="A42" s="182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>
      <c r="A43" s="182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</row>
    <row r="44">
      <c r="A44" s="182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>
      <c r="A45" s="182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>
      <c r="A46" s="182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>
      <c r="A47" s="182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>
      <c r="A48" s="182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>
      <c r="A49" s="182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>
      <c r="A50" s="182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>
      <c r="A51" s="182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>
      <c r="A52" s="182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>
      <c r="A53" s="182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>
      <c r="A54" s="182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>
      <c r="A55" s="182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>
      <c r="A56" s="182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>
      <c r="A57" s="182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>
      <c r="A58" s="182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>
      <c r="A59" s="182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>
      <c r="A60" s="182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>
      <c r="A61" s="182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>
      <c r="A62" s="182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>
      <c r="A63" s="182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>
      <c r="A64" s="182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>
      <c r="A65" s="182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>
      <c r="A66" s="182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>
      <c r="A67" s="182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>
      <c r="A68" s="182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>
      <c r="A69" s="182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>
      <c r="A70" s="182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>
      <c r="A71" s="182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>
      <c r="A72" s="182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>
      <c r="A73" s="182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>
      <c r="A74" s="182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>
      <c r="A75" s="182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>
      <c r="A76" s="182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>
      <c r="A77" s="182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>
      <c r="A78" s="182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>
      <c r="A79" s="182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>
      <c r="A80" s="182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>
      <c r="A81" s="182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>
      <c r="A82" s="182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>
      <c r="A83" s="182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>
      <c r="A84" s="182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>
      <c r="A85" s="182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>
      <c r="A86" s="182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>
      <c r="A87" s="182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>
      <c r="A88" s="182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>
      <c r="A89" s="182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>
      <c r="A90" s="182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>
      <c r="A91" s="182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>
      <c r="A92" s="182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>
      <c r="A93" s="182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>
      <c r="A94" s="182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>
      <c r="A95" s="182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>
      <c r="A96" s="182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>
      <c r="A97" s="182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>
      <c r="A98" s="182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>
      <c r="A99" s="182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>
      <c r="A100" s="182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>
      <c r="A101" s="182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>
      <c r="A102" s="182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>
      <c r="A103" s="182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>
      <c r="A104" s="182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>
      <c r="A105" s="182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>
      <c r="A106" s="182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>
      <c r="A107" s="182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>
      <c r="A108" s="182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>
      <c r="A109" s="182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>
      <c r="A110" s="182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>
      <c r="A111" s="182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>
      <c r="A112" s="182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>
      <c r="A113" s="182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>
      <c r="A114" s="182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>
      <c r="A115" s="182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>
      <c r="A116" s="182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>
      <c r="A117" s="182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>
      <c r="A118" s="182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>
      <c r="A119" s="182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>
      <c r="A120" s="182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>
      <c r="A121" s="182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>
      <c r="A122" s="182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>
      <c r="A123" s="182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>
      <c r="A124" s="182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>
      <c r="A125" s="182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>
      <c r="A126" s="182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>
      <c r="A127" s="182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>
      <c r="A128" s="182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>
      <c r="A129" s="182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>
      <c r="A130" s="182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>
      <c r="A131" s="182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>
      <c r="A132" s="182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>
      <c r="A133" s="182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>
      <c r="A134" s="182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>
      <c r="A135" s="182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>
      <c r="A136" s="182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>
      <c r="A137" s="182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>
      <c r="A138" s="182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>
      <c r="A139" s="182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>
      <c r="A140" s="182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>
      <c r="A141" s="182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>
      <c r="A142" s="182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>
      <c r="A143" s="182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>
      <c r="A144" s="182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>
      <c r="A145" s="182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>
      <c r="A146" s="182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>
      <c r="A147" s="182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>
      <c r="A148" s="182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>
      <c r="A149" s="182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>
      <c r="A150" s="182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>
      <c r="A151" s="182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>
      <c r="A152" s="182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>
      <c r="A153" s="182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>
      <c r="A154" s="182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>
      <c r="A155" s="182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>
      <c r="A156" s="182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>
      <c r="A157" s="182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>
      <c r="A158" s="182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>
      <c r="A159" s="182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>
      <c r="A160" s="182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>
      <c r="A161" s="182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>
      <c r="A162" s="182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>
      <c r="A163" s="182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>
      <c r="A164" s="182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>
      <c r="A165" s="182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>
      <c r="A166" s="182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>
      <c r="A167" s="182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>
      <c r="A168" s="182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>
      <c r="A169" s="182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>
      <c r="A170" s="182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>
      <c r="A171" s="182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>
      <c r="A172" s="182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>
      <c r="A173" s="182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>
      <c r="A174" s="182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>
      <c r="A175" s="182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>
      <c r="A176" s="182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>
      <c r="A177" s="182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>
      <c r="A178" s="182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>
      <c r="A179" s="182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>
      <c r="A180" s="182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>
      <c r="A181" s="182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>
      <c r="A182" s="182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>
      <c r="A183" s="182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>
      <c r="A184" s="182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>
      <c r="A185" s="182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>
      <c r="A186" s="182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>
      <c r="A187" s="182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>
      <c r="A188" s="182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>
      <c r="A189" s="182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>
      <c r="A190" s="182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>
      <c r="A191" s="182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>
      <c r="A192" s="182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>
      <c r="A193" s="182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>
      <c r="A194" s="182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>
      <c r="A195" s="182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>
      <c r="A196" s="182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>
      <c r="A197" s="182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>
      <c r="A198" s="182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>
      <c r="A199" s="182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>
      <c r="A200" s="182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>
      <c r="A201" s="182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>
      <c r="A202" s="182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>
      <c r="A203" s="182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>
      <c r="A204" s="182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>
      <c r="A205" s="182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>
      <c r="A206" s="182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>
      <c r="A207" s="182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>
      <c r="A208" s="182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>
      <c r="A209" s="182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>
      <c r="A210" s="182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>
      <c r="A211" s="182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>
      <c r="A212" s="182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>
      <c r="A213" s="182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>
      <c r="A214" s="182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>
      <c r="A215" s="182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>
      <c r="A216" s="182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>
      <c r="A217" s="182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>
      <c r="A218" s="182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>
      <c r="A219" s="182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>
      <c r="A220" s="182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>
      <c r="A221" s="182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>
      <c r="A222" s="182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>
      <c r="A223" s="182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>
      <c r="A224" s="182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>
      <c r="A225" s="182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>
      <c r="A226" s="182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>
      <c r="A227" s="182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>
      <c r="A228" s="182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>
      <c r="A229" s="182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>
      <c r="A230" s="182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>
      <c r="A231" s="182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>
      <c r="A232" s="182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>
      <c r="A233" s="182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>
      <c r="A234" s="182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>
      <c r="A235" s="182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>
      <c r="A236" s="182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>
      <c r="A237" s="182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>
      <c r="A238" s="182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>
      <c r="A239" s="182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>
      <c r="A240" s="182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>
      <c r="A241" s="182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>
      <c r="A242" s="182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>
      <c r="A243" s="182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>
      <c r="A244" s="182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>
      <c r="A245" s="182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>
      <c r="A246" s="182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>
      <c r="A247" s="182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>
      <c r="A248" s="182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>
      <c r="A249" s="182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>
      <c r="A250" s="182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>
      <c r="A251" s="182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>
      <c r="A252" s="182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>
      <c r="A253" s="182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>
      <c r="A254" s="182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>
      <c r="A255" s="182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>
      <c r="A256" s="182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>
      <c r="A257" s="182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>
      <c r="A258" s="182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>
      <c r="A259" s="182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>
      <c r="A260" s="182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>
      <c r="A261" s="182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>
      <c r="A262" s="182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>
      <c r="A263" s="182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>
      <c r="A264" s="182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>
      <c r="A265" s="182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>
      <c r="A266" s="182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>
      <c r="A267" s="182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>
      <c r="A268" s="182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>
      <c r="A269" s="182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>
      <c r="A270" s="182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>
      <c r="A271" s="182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>
      <c r="A272" s="182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>
      <c r="A273" s="182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>
      <c r="A274" s="182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>
      <c r="A275" s="182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>
      <c r="A276" s="182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>
      <c r="A277" s="182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>
      <c r="A278" s="182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>
      <c r="A279" s="182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>
      <c r="A280" s="182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>
      <c r="A281" s="182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>
      <c r="A282" s="182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>
      <c r="A283" s="182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>
      <c r="A284" s="182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>
      <c r="A285" s="182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>
      <c r="A286" s="182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>
      <c r="A287" s="182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>
      <c r="A288" s="182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>
      <c r="A289" s="182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>
      <c r="A290" s="182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>
      <c r="A291" s="182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>
      <c r="A292" s="182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>
      <c r="A293" s="182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>
      <c r="A294" s="182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>
      <c r="A295" s="182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>
      <c r="A296" s="182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>
      <c r="A297" s="182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>
      <c r="A298" s="182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>
      <c r="A299" s="182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>
      <c r="A300" s="182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>
      <c r="A301" s="182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>
      <c r="A302" s="182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>
      <c r="A303" s="182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>
      <c r="A304" s="182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>
      <c r="A305" s="182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>
      <c r="A306" s="182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>
      <c r="A307" s="182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>
      <c r="A308" s="182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>
      <c r="A309" s="182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>
      <c r="A310" s="182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>
      <c r="A311" s="182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>
      <c r="A312" s="182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>
      <c r="A313" s="182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>
      <c r="A314" s="182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>
      <c r="A315" s="182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>
      <c r="A316" s="182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>
      <c r="A317" s="182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>
      <c r="A318" s="182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>
      <c r="A319" s="182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>
      <c r="A320" s="182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>
      <c r="A321" s="182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>
      <c r="A322" s="182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>
      <c r="A323" s="182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>
      <c r="A324" s="182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>
      <c r="A325" s="182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>
      <c r="A326" s="182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>
      <c r="A327" s="182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>
      <c r="A328" s="182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>
      <c r="A329" s="182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>
      <c r="A330" s="182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>
      <c r="A331" s="182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>
      <c r="A332" s="182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>
      <c r="A333" s="182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>
      <c r="A334" s="182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>
      <c r="A335" s="182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>
      <c r="A336" s="182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>
      <c r="A337" s="182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>
      <c r="A338" s="182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>
      <c r="A339" s="182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>
      <c r="A340" s="182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>
      <c r="A341" s="182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>
      <c r="A342" s="182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>
      <c r="A343" s="182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>
      <c r="A344" s="182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>
      <c r="A345" s="182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>
      <c r="A346" s="182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>
      <c r="A347" s="182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>
      <c r="A348" s="182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>
      <c r="A349" s="182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>
      <c r="A350" s="182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>
      <c r="A351" s="182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>
      <c r="A352" s="182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>
      <c r="A353" s="182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>
      <c r="A354" s="182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>
      <c r="A355" s="182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>
      <c r="A356" s="182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>
      <c r="A357" s="182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>
      <c r="A358" s="182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>
      <c r="A359" s="182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>
      <c r="A360" s="182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>
      <c r="A361" s="182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>
      <c r="A362" s="182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>
      <c r="A363" s="182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>
      <c r="A364" s="182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>
      <c r="A365" s="182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>
      <c r="A366" s="182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>
      <c r="A367" s="182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>
      <c r="A368" s="182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>
      <c r="A369" s="182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>
      <c r="A370" s="182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>
      <c r="A371" s="182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>
      <c r="A372" s="182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>
      <c r="A373" s="182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>
      <c r="A374" s="182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>
      <c r="A375" s="182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>
      <c r="A376" s="182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>
      <c r="A377" s="182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>
      <c r="A378" s="182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>
      <c r="A379" s="182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>
      <c r="A380" s="182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>
      <c r="A381" s="182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>
      <c r="A382" s="182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>
      <c r="A383" s="182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>
      <c r="A384" s="182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>
      <c r="A385" s="182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>
      <c r="A386" s="182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>
      <c r="A387" s="182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>
      <c r="A388" s="182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>
      <c r="A389" s="182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>
      <c r="A390" s="182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>
      <c r="A391" s="182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>
      <c r="A392" s="182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>
      <c r="A393" s="182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>
      <c r="A394" s="182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>
      <c r="A395" s="182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>
      <c r="A396" s="182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>
      <c r="A397" s="182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>
      <c r="A398" s="182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>
      <c r="A399" s="182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>
      <c r="A400" s="182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>
      <c r="A401" s="182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>
      <c r="A402" s="182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>
      <c r="A403" s="182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>
      <c r="A404" s="182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>
      <c r="A405" s="182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>
      <c r="A406" s="182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>
      <c r="A407" s="182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>
      <c r="A408" s="182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>
      <c r="A409" s="182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>
      <c r="A410" s="182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>
      <c r="A411" s="182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>
      <c r="A412" s="182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>
      <c r="A413" s="182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>
      <c r="A414" s="182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>
      <c r="A415" s="182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>
      <c r="A416" s="182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>
      <c r="A417" s="182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>
      <c r="A418" s="182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>
      <c r="A419" s="182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>
      <c r="A420" s="182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>
      <c r="A421" s="182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>
      <c r="A422" s="182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>
      <c r="A423" s="182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>
      <c r="A424" s="182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>
      <c r="A425" s="182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>
      <c r="A426" s="182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>
      <c r="A427" s="182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>
      <c r="A428" s="182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>
      <c r="A429" s="182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>
      <c r="A430" s="182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>
      <c r="A431" s="182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>
      <c r="A432" s="182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>
      <c r="A433" s="182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>
      <c r="A434" s="182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>
      <c r="A435" s="182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>
      <c r="A436" s="182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>
      <c r="A437" s="182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>
      <c r="A438" s="182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>
      <c r="A439" s="182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>
      <c r="A440" s="182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>
      <c r="A441" s="182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>
      <c r="A442" s="182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>
      <c r="A443" s="182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>
      <c r="A444" s="182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>
      <c r="A445" s="182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>
      <c r="A446" s="182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>
      <c r="A447" s="182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>
      <c r="A448" s="182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>
      <c r="A449" s="182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>
      <c r="A450" s="182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>
      <c r="A451" s="182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>
      <c r="A452" s="182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>
      <c r="A453" s="182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>
      <c r="A454" s="182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>
      <c r="A455" s="182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>
      <c r="A456" s="182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>
      <c r="A457" s="182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>
      <c r="A458" s="182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>
      <c r="A459" s="182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>
      <c r="A460" s="182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>
      <c r="A461" s="182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>
      <c r="A462" s="182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>
      <c r="A463" s="182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>
      <c r="A464" s="182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>
      <c r="A465" s="182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>
      <c r="A466" s="182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>
      <c r="A467" s="182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>
      <c r="A468" s="182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>
      <c r="A469" s="182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>
      <c r="A470" s="182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>
      <c r="A471" s="182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>
      <c r="A472" s="182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>
      <c r="A473" s="182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>
      <c r="A474" s="182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>
      <c r="A475" s="182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>
      <c r="A476" s="182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>
      <c r="A477" s="182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>
      <c r="A478" s="182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>
      <c r="A479" s="182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>
      <c r="A480" s="182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>
      <c r="A481" s="182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>
      <c r="A482" s="182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>
      <c r="A483" s="182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>
      <c r="A484" s="182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>
      <c r="A485" s="182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>
      <c r="A486" s="182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>
      <c r="A487" s="182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>
      <c r="A488" s="182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>
      <c r="A489" s="182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>
      <c r="A490" s="182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>
      <c r="A491" s="182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>
      <c r="A492" s="182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>
      <c r="A493" s="182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>
      <c r="A494" s="182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>
      <c r="A495" s="182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>
      <c r="A496" s="182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>
      <c r="A497" s="182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>
      <c r="A498" s="182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>
      <c r="A499" s="182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>
      <c r="A500" s="182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>
      <c r="A501" s="182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>
      <c r="A502" s="182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>
      <c r="A503" s="182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>
      <c r="A504" s="182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>
      <c r="A505" s="182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>
      <c r="A506" s="182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>
      <c r="A507" s="182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>
      <c r="A508" s="182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>
      <c r="A509" s="182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>
      <c r="A510" s="182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>
      <c r="A511" s="182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>
      <c r="A512" s="182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>
      <c r="A513" s="182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>
      <c r="A514" s="182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>
      <c r="A515" s="182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>
      <c r="A516" s="182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>
      <c r="A517" s="182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>
      <c r="A518" s="182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>
      <c r="A519" s="182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>
      <c r="A520" s="182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>
      <c r="A521" s="182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>
      <c r="A522" s="182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>
      <c r="A523" s="182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>
      <c r="A524" s="182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>
      <c r="A525" s="182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>
      <c r="A526" s="182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>
      <c r="A527" s="182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>
      <c r="A528" s="182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>
      <c r="A529" s="182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>
      <c r="A530" s="182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>
      <c r="A531" s="182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>
      <c r="A532" s="182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>
      <c r="A533" s="182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>
      <c r="A534" s="182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>
      <c r="A535" s="182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>
      <c r="A536" s="182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>
      <c r="A537" s="182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>
      <c r="A538" s="182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>
      <c r="A539" s="182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>
      <c r="A540" s="182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>
      <c r="A541" s="182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>
      <c r="A542" s="182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>
      <c r="A543" s="182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>
      <c r="A544" s="182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>
      <c r="A545" s="182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>
      <c r="A546" s="182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>
      <c r="A547" s="182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>
      <c r="A548" s="182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>
      <c r="A549" s="182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>
      <c r="A550" s="182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>
      <c r="A551" s="182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>
      <c r="A552" s="182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>
      <c r="A553" s="182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>
      <c r="A554" s="182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>
      <c r="A555" s="182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>
      <c r="A556" s="182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>
      <c r="A557" s="182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>
      <c r="A558" s="182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>
      <c r="A559" s="182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>
      <c r="A560" s="182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>
      <c r="A561" s="182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>
      <c r="A562" s="182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>
      <c r="A563" s="182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>
      <c r="A564" s="182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>
      <c r="A565" s="182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>
      <c r="A566" s="182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>
      <c r="A567" s="182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>
      <c r="A568" s="182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>
      <c r="A569" s="182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>
      <c r="A570" s="182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>
      <c r="A571" s="182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>
      <c r="A572" s="182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>
      <c r="A573" s="182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>
      <c r="A574" s="182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>
      <c r="A575" s="182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>
      <c r="A576" s="182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>
      <c r="A577" s="182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>
      <c r="A578" s="182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>
      <c r="A579" s="182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>
      <c r="A580" s="182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>
      <c r="A581" s="182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>
      <c r="A582" s="182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>
      <c r="A583" s="182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>
      <c r="A584" s="182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>
      <c r="A585" s="182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>
      <c r="A586" s="182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>
      <c r="A587" s="182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>
      <c r="A588" s="182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>
      <c r="A589" s="182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>
      <c r="A590" s="182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>
      <c r="A591" s="182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>
      <c r="A592" s="182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>
      <c r="A593" s="182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>
      <c r="A594" s="182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>
      <c r="A595" s="182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>
      <c r="A596" s="182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>
      <c r="A597" s="182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>
      <c r="A598" s="182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>
      <c r="A599" s="182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>
      <c r="A600" s="182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>
      <c r="A601" s="182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>
      <c r="A602" s="182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>
      <c r="A603" s="182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>
      <c r="A604" s="182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>
      <c r="A605" s="182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>
      <c r="A606" s="182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>
      <c r="A607" s="182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>
      <c r="A608" s="182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>
      <c r="A609" s="182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>
      <c r="A610" s="182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>
      <c r="A611" s="182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>
      <c r="A612" s="182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>
      <c r="A613" s="182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>
      <c r="A614" s="182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>
      <c r="A615" s="182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>
      <c r="A616" s="182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>
      <c r="A617" s="182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>
      <c r="A618" s="182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>
      <c r="A619" s="182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>
      <c r="A620" s="182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>
      <c r="A621" s="182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>
      <c r="A622" s="182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>
      <c r="A623" s="182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>
      <c r="A624" s="182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>
      <c r="A625" s="182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>
      <c r="A626" s="182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>
      <c r="A627" s="182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>
      <c r="A628" s="182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>
      <c r="A629" s="182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>
      <c r="A630" s="182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>
      <c r="A631" s="182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>
      <c r="A632" s="182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>
      <c r="A633" s="182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>
      <c r="A634" s="182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>
      <c r="A635" s="182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>
      <c r="A636" s="182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>
      <c r="A637" s="182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>
      <c r="A638" s="182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>
      <c r="A639" s="182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>
      <c r="A640" s="182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>
      <c r="A641" s="182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>
      <c r="A642" s="182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>
      <c r="A643" s="182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>
      <c r="A644" s="182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>
      <c r="A645" s="182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>
      <c r="A646" s="182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>
      <c r="A647" s="182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>
      <c r="A648" s="182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>
      <c r="A649" s="182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>
      <c r="A650" s="182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>
      <c r="A651" s="182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>
      <c r="A652" s="182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>
      <c r="A653" s="182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>
      <c r="A654" s="182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>
      <c r="A655" s="182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>
      <c r="A656" s="182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>
      <c r="A657" s="182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>
      <c r="A658" s="182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>
      <c r="A659" s="182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>
      <c r="A660" s="182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>
      <c r="A661" s="182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>
      <c r="A662" s="182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>
      <c r="A663" s="182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>
      <c r="A664" s="182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>
      <c r="A665" s="182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>
      <c r="A666" s="182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>
      <c r="A667" s="182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>
      <c r="A668" s="182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>
      <c r="A669" s="182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>
      <c r="A670" s="182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>
      <c r="A671" s="182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>
      <c r="A672" s="182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>
      <c r="A673" s="182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>
      <c r="A674" s="182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>
      <c r="A675" s="182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>
      <c r="A676" s="182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>
      <c r="A677" s="182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>
      <c r="A678" s="182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>
      <c r="A679" s="182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>
      <c r="A680" s="182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>
      <c r="A681" s="182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>
      <c r="A682" s="182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>
      <c r="A683" s="182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>
      <c r="A684" s="182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>
      <c r="A685" s="182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>
      <c r="A686" s="182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>
      <c r="A687" s="182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>
      <c r="A688" s="182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>
      <c r="A689" s="182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>
      <c r="A690" s="182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>
      <c r="A691" s="182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>
      <c r="A692" s="182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>
      <c r="A693" s="182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>
      <c r="A694" s="182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>
      <c r="A695" s="182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>
      <c r="A696" s="182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>
      <c r="A697" s="182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>
      <c r="A698" s="182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>
      <c r="A699" s="182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>
      <c r="A700" s="182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>
      <c r="A701" s="182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>
      <c r="A702" s="182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>
      <c r="A703" s="182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>
      <c r="A704" s="182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>
      <c r="A705" s="182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>
      <c r="A706" s="182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>
      <c r="A707" s="182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>
      <c r="A708" s="182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>
      <c r="A709" s="182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>
      <c r="A710" s="182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>
      <c r="A711" s="182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>
      <c r="A712" s="182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>
      <c r="A713" s="182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>
      <c r="A714" s="182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>
      <c r="A715" s="182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>
      <c r="A716" s="182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>
      <c r="A717" s="182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>
      <c r="A718" s="182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>
      <c r="A719" s="182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>
      <c r="A720" s="182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>
      <c r="A721" s="182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>
      <c r="A722" s="182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>
      <c r="A723" s="182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>
      <c r="A724" s="182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>
      <c r="A725" s="182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>
      <c r="A726" s="182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>
      <c r="A727" s="182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>
      <c r="A728" s="182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>
      <c r="A729" s="182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>
      <c r="A730" s="182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>
      <c r="A731" s="182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>
      <c r="A732" s="182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>
      <c r="A733" s="182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>
      <c r="A734" s="182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>
      <c r="A735" s="182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>
      <c r="A736" s="182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>
      <c r="A737" s="182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>
      <c r="A738" s="182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>
      <c r="A739" s="182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>
      <c r="A740" s="182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>
      <c r="A741" s="182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>
      <c r="A742" s="182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>
      <c r="A743" s="182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>
      <c r="A744" s="182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>
      <c r="A745" s="182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>
      <c r="A746" s="182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>
      <c r="A747" s="182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>
      <c r="A748" s="182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>
      <c r="A749" s="182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>
      <c r="A750" s="182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>
      <c r="A751" s="182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>
      <c r="A752" s="182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>
      <c r="A753" s="182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>
      <c r="A754" s="182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>
      <c r="A755" s="182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>
      <c r="A756" s="182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>
      <c r="A757" s="182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>
      <c r="A758" s="182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>
      <c r="A759" s="182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>
      <c r="A760" s="182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>
      <c r="A761" s="182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>
      <c r="A762" s="182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>
      <c r="A763" s="182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>
      <c r="A764" s="182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>
      <c r="A765" s="182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>
      <c r="A766" s="182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>
      <c r="A767" s="182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>
      <c r="A768" s="182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>
      <c r="A769" s="182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>
      <c r="A770" s="182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>
      <c r="A771" s="182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>
      <c r="A772" s="182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>
      <c r="A773" s="182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>
      <c r="A774" s="182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>
      <c r="A775" s="182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>
      <c r="A776" s="182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>
      <c r="A777" s="182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>
      <c r="A778" s="182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>
      <c r="A779" s="182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>
      <c r="A780" s="182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>
      <c r="A781" s="182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>
      <c r="A782" s="182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>
      <c r="A783" s="182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>
      <c r="A784" s="182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>
      <c r="A785" s="182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>
      <c r="A786" s="182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>
      <c r="A787" s="182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>
      <c r="A788" s="182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>
      <c r="A789" s="182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>
      <c r="A790" s="182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>
      <c r="A791" s="182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>
      <c r="A792" s="182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>
      <c r="A793" s="182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>
      <c r="A794" s="182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>
      <c r="A795" s="182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>
      <c r="A796" s="182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>
      <c r="A797" s="182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>
      <c r="A798" s="182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>
      <c r="A799" s="182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>
      <c r="A800" s="182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>
      <c r="A801" s="182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>
      <c r="A802" s="182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>
      <c r="A803" s="182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>
      <c r="A804" s="182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>
      <c r="A805" s="182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>
      <c r="A806" s="182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>
      <c r="A807" s="182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>
      <c r="A808" s="182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>
      <c r="A809" s="182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>
      <c r="A810" s="182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>
      <c r="A811" s="182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>
      <c r="A812" s="182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>
      <c r="A813" s="182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>
      <c r="A814" s="182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>
      <c r="A815" s="182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>
      <c r="A816" s="182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>
      <c r="A817" s="182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>
      <c r="A818" s="182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>
      <c r="A819" s="182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>
      <c r="A820" s="182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>
      <c r="A821" s="182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>
      <c r="A822" s="182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>
      <c r="A823" s="182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>
      <c r="A824" s="182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>
      <c r="A825" s="182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>
      <c r="A826" s="182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>
      <c r="A827" s="182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>
      <c r="A828" s="182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>
      <c r="A829" s="182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>
      <c r="A830" s="182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>
      <c r="A831" s="182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>
      <c r="A832" s="182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>
      <c r="A833" s="182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>
      <c r="A834" s="182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>
      <c r="A835" s="182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>
      <c r="A836" s="182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>
      <c r="A837" s="182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>
      <c r="A838" s="182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>
      <c r="A839" s="182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>
      <c r="A840" s="182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>
      <c r="A841" s="182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>
      <c r="A842" s="182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>
      <c r="A843" s="182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>
      <c r="A844" s="182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>
      <c r="A845" s="182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>
      <c r="A846" s="182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>
      <c r="A847" s="182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>
      <c r="A848" s="182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>
      <c r="A849" s="182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>
      <c r="A850" s="182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>
      <c r="A851" s="182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>
      <c r="A852" s="182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>
      <c r="A853" s="182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>
      <c r="A854" s="182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>
      <c r="A855" s="182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>
      <c r="A856" s="182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>
      <c r="A857" s="182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>
      <c r="A858" s="182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>
      <c r="A859" s="182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>
      <c r="A860" s="182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>
      <c r="A861" s="182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>
      <c r="A862" s="182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>
      <c r="A863" s="182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>
      <c r="A864" s="182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>
      <c r="A865" s="182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>
      <c r="A866" s="182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>
      <c r="A867" s="182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>
      <c r="A868" s="182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>
      <c r="A869" s="182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>
      <c r="A870" s="182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>
      <c r="A871" s="182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>
      <c r="A872" s="182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>
      <c r="A873" s="182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>
      <c r="A874" s="182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>
      <c r="A875" s="182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>
      <c r="A876" s="182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>
      <c r="A877" s="182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>
      <c r="A878" s="182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>
      <c r="A879" s="182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>
      <c r="A880" s="182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>
      <c r="A881" s="182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>
      <c r="A882" s="182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>
      <c r="A883" s="182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>
      <c r="A884" s="182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>
      <c r="A885" s="182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>
      <c r="A886" s="182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>
      <c r="A887" s="182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>
      <c r="A888" s="182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>
      <c r="A889" s="182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>
      <c r="A890" s="182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>
      <c r="A891" s="182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>
      <c r="A892" s="182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>
      <c r="A893" s="182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>
      <c r="A894" s="182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>
      <c r="A895" s="182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>
      <c r="A896" s="182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>
      <c r="A897" s="182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>
      <c r="A898" s="182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>
      <c r="A899" s="182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>
      <c r="A900" s="182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>
      <c r="A901" s="182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>
      <c r="A902" s="182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>
      <c r="A903" s="182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>
      <c r="A904" s="182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>
      <c r="A905" s="182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>
      <c r="A906" s="182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>
      <c r="A907" s="182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>
      <c r="A908" s="182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>
      <c r="A909" s="182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>
      <c r="A910" s="182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>
      <c r="A911" s="182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>
      <c r="A912" s="182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>
      <c r="A913" s="182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>
      <c r="A914" s="182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>
      <c r="A915" s="182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>
      <c r="A916" s="182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>
      <c r="A917" s="182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>
      <c r="A918" s="182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>
      <c r="A919" s="182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>
      <c r="A920" s="182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>
      <c r="A921" s="182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>
      <c r="A922" s="182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>
      <c r="A923" s="182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>
      <c r="A924" s="182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>
      <c r="A925" s="182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>
      <c r="A926" s="182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>
      <c r="A927" s="182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>
      <c r="A928" s="182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>
      <c r="A929" s="182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>
      <c r="A930" s="182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>
      <c r="A931" s="182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>
      <c r="A932" s="182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>
      <c r="A933" s="182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>
      <c r="A934" s="182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>
      <c r="A935" s="182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>
      <c r="A936" s="182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>
      <c r="A937" s="182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>
      <c r="A938" s="182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>
      <c r="A939" s="182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>
      <c r="A940" s="182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>
      <c r="A941" s="182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>
      <c r="A942" s="182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>
      <c r="A943" s="182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>
      <c r="A944" s="182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>
      <c r="A945" s="182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>
      <c r="A946" s="182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>
      <c r="A947" s="182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>
      <c r="A948" s="182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>
      <c r="A949" s="182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>
      <c r="A950" s="182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>
      <c r="A951" s="182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>
      <c r="A952" s="182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>
      <c r="A953" s="182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>
      <c r="A954" s="182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>
      <c r="A955" s="182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>
      <c r="A956" s="182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>
      <c r="A957" s="182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>
      <c r="A958" s="182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>
      <c r="A959" s="182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>
      <c r="A960" s="182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>
      <c r="A961" s="182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>
      <c r="A962" s="182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>
      <c r="A963" s="182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>
      <c r="A964" s="182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>
      <c r="A965" s="182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>
      <c r="A966" s="182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>
      <c r="A967" s="182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>
      <c r="A968" s="182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>
      <c r="A969" s="182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>
      <c r="A970" s="182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>
      <c r="A971" s="182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>
      <c r="A972" s="182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>
      <c r="A973" s="182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>
      <c r="A974" s="182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>
      <c r="A975" s="182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>
      <c r="A976" s="182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>
      <c r="A977" s="182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>
      <c r="A978" s="182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>
      <c r="A979" s="182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>
      <c r="A980" s="182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>
      <c r="A981" s="182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>
      <c r="A982" s="182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>
      <c r="A983" s="182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>
      <c r="A984" s="182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  <row r="985">
      <c r="A985" s="182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</row>
    <row r="986">
      <c r="A986" s="182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</row>
    <row r="987">
      <c r="A987" s="182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</row>
    <row r="988">
      <c r="A988" s="182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</row>
    <row r="989">
      <c r="A989" s="182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</row>
    <row r="990">
      <c r="A990" s="182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</row>
    <row r="991">
      <c r="A991" s="182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</row>
    <row r="992">
      <c r="A992" s="182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</row>
    <row r="993">
      <c r="A993" s="182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</row>
    <row r="994">
      <c r="A994" s="182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</row>
    <row r="995">
      <c r="A995" s="182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</row>
    <row r="996">
      <c r="A996" s="182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</row>
    <row r="997">
      <c r="A997" s="182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</row>
    <row r="998">
      <c r="A998" s="182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</row>
    <row r="999">
      <c r="A999" s="182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</row>
    <row r="1000">
      <c r="A1000" s="182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</row>
    <row r="1001">
      <c r="A1001" s="182"/>
      <c r="B1001" s="179"/>
      <c r="C1001" s="179"/>
      <c r="D1001" s="179"/>
      <c r="E1001" s="179"/>
      <c r="F1001" s="179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9"/>
      <c r="X1001" s="179"/>
      <c r="Y1001" s="179"/>
      <c r="Z1001" s="179"/>
    </row>
    <row r="1002">
      <c r="A1002" s="182"/>
      <c r="B1002" s="179"/>
      <c r="C1002" s="179"/>
      <c r="D1002" s="179"/>
      <c r="E1002" s="179"/>
      <c r="F1002" s="179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/>
      <c r="Z1002" s="179"/>
    </row>
    <row r="1003">
      <c r="A1003" s="182"/>
      <c r="B1003" s="179"/>
      <c r="C1003" s="179"/>
      <c r="D1003" s="179"/>
      <c r="E1003" s="179"/>
      <c r="F1003" s="179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79"/>
      <c r="V1003" s="179"/>
      <c r="W1003" s="179"/>
      <c r="X1003" s="179"/>
      <c r="Y1003" s="179"/>
      <c r="Z1003" s="179"/>
    </row>
  </sheetData>
  <conditionalFormatting sqref="A2:D1003">
    <cfRule type="expression" dxfId="4" priority="1">
      <formula>ISEVEN(QUOTIENT(ROW()-2, 10))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26.25"/>
    <col customWidth="1" min="4" max="4" width="16.25"/>
    <col customWidth="1" min="5" max="5" width="15.5"/>
    <col customWidth="1" min="6" max="6" width="16.13"/>
    <col customWidth="1" min="7" max="7" width="23.0"/>
  </cols>
  <sheetData>
    <row r="1">
      <c r="A1" s="183" t="s">
        <v>0</v>
      </c>
      <c r="B1" s="183" t="s">
        <v>3</v>
      </c>
      <c r="C1" s="184"/>
      <c r="D1" s="185" t="s">
        <v>1026</v>
      </c>
      <c r="E1" s="185" t="s">
        <v>1027</v>
      </c>
      <c r="G1" s="186" t="s">
        <v>1028</v>
      </c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>
      <c r="A2" s="187">
        <v>45111.0</v>
      </c>
      <c r="B2" s="188">
        <v>1169.25</v>
      </c>
      <c r="C2" s="184"/>
      <c r="D2" s="189">
        <v>177950.0</v>
      </c>
      <c r="E2" s="190">
        <f>SUM(B2:B1000)</f>
        <v>71594.41</v>
      </c>
      <c r="G2" s="191">
        <f>D2-E2</f>
        <v>106355.59</v>
      </c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>
      <c r="A3" s="187">
        <v>45169.0</v>
      </c>
      <c r="B3" s="188">
        <v>517.0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>
      <c r="A4" s="187">
        <v>45199.0</v>
      </c>
      <c r="B4" s="188">
        <v>517.0</v>
      </c>
      <c r="C4" s="184"/>
      <c r="D4" s="184"/>
      <c r="E4" s="184"/>
      <c r="F4" s="184"/>
      <c r="G4" s="184"/>
      <c r="H4" s="184"/>
      <c r="I4" s="184"/>
      <c r="J4" s="186"/>
      <c r="K4" s="186"/>
      <c r="L4" s="186"/>
      <c r="M4" s="186"/>
      <c r="N4" s="186"/>
      <c r="O4" s="186"/>
      <c r="P4" s="186"/>
      <c r="Q4" s="184"/>
      <c r="R4" s="184"/>
      <c r="S4" s="186"/>
      <c r="T4" s="184"/>
      <c r="U4" s="184"/>
      <c r="V4" s="184"/>
      <c r="W4" s="184"/>
      <c r="X4" s="184"/>
      <c r="Y4" s="184"/>
      <c r="Z4" s="184"/>
    </row>
    <row r="5">
      <c r="A5" s="187">
        <v>45230.0</v>
      </c>
      <c r="B5" s="188">
        <v>517.0</v>
      </c>
      <c r="C5" s="184"/>
      <c r="D5" s="184"/>
      <c r="E5" s="184"/>
      <c r="F5" s="184"/>
      <c r="G5" s="184"/>
      <c r="H5" s="184"/>
      <c r="I5" s="184"/>
      <c r="J5" s="186"/>
      <c r="K5" s="186"/>
      <c r="L5" s="186"/>
      <c r="M5" s="186"/>
      <c r="N5" s="186"/>
      <c r="O5" s="186"/>
      <c r="P5" s="186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>
      <c r="A6" s="187">
        <v>45260.0</v>
      </c>
      <c r="B6" s="188">
        <v>517.0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>
      <c r="A7" s="187">
        <v>45285.0</v>
      </c>
      <c r="B7" s="188">
        <v>4716.07</v>
      </c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>
      <c r="A8" s="192">
        <v>45291.0</v>
      </c>
      <c r="B8" s="193">
        <v>517.0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>
      <c r="A9" s="187">
        <v>45349.0</v>
      </c>
      <c r="B9" s="188">
        <v>1100.0</v>
      </c>
      <c r="C9" s="184"/>
      <c r="D9" s="184"/>
      <c r="E9" s="184"/>
      <c r="F9" s="184"/>
      <c r="G9" s="184"/>
      <c r="H9" s="184"/>
      <c r="I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>
      <c r="A10" s="187">
        <v>45475.0</v>
      </c>
      <c r="B10" s="188">
        <v>2575.0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>
      <c r="A11" s="187">
        <v>45480.0</v>
      </c>
      <c r="B11" s="188">
        <v>7072.66</v>
      </c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>
      <c r="A12" s="192">
        <v>45504.0</v>
      </c>
      <c r="B12" s="193">
        <v>588.0</v>
      </c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>
      <c r="A13" s="187">
        <v>45741.0</v>
      </c>
      <c r="B13" s="188">
        <v>1439.0</v>
      </c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>
      <c r="A14" s="187">
        <v>45772.0</v>
      </c>
      <c r="B14" s="188">
        <v>1643.86</v>
      </c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>
      <c r="A15" s="187">
        <v>45778.0</v>
      </c>
      <c r="B15" s="188">
        <v>2000.0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>
      <c r="A16" s="187">
        <v>45802.0</v>
      </c>
      <c r="B16" s="188">
        <v>2891.57</v>
      </c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>
      <c r="A17" s="187">
        <v>45833.0</v>
      </c>
      <c r="B17" s="188">
        <v>3000.0</v>
      </c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>
      <c r="A18" s="187">
        <v>45863.0</v>
      </c>
      <c r="B18" s="188">
        <v>2500.0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>
      <c r="A19" s="187">
        <v>45869.0</v>
      </c>
      <c r="B19" s="188">
        <v>657.0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>
      <c r="A20" s="187">
        <v>45894.0</v>
      </c>
      <c r="B20" s="188">
        <v>9000.0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>
      <c r="A21" s="187">
        <v>45900.0</v>
      </c>
      <c r="B21" s="188">
        <v>657.0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>
      <c r="A22" s="187">
        <v>45925.0</v>
      </c>
      <c r="B22" s="188">
        <v>2000.0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>
      <c r="A23" s="187">
        <v>45954.0</v>
      </c>
      <c r="B23" s="188">
        <v>2000.0</v>
      </c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>
      <c r="A24" s="187">
        <v>45986.0</v>
      </c>
      <c r="B24" s="188">
        <v>2000.0</v>
      </c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>
      <c r="A25" s="192">
        <v>46016.0</v>
      </c>
      <c r="B25" s="193">
        <v>5000.0</v>
      </c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>
      <c r="A26" s="187">
        <v>46045.0</v>
      </c>
      <c r="B26" s="188">
        <v>5000.0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>
      <c r="A27" s="187">
        <v>46078.0</v>
      </c>
      <c r="B27" s="188">
        <v>3000.0</v>
      </c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>
      <c r="A28" s="187">
        <v>46106.0</v>
      </c>
      <c r="B28" s="188">
        <v>3000.0</v>
      </c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>
      <c r="A29" s="187">
        <v>46136.0</v>
      </c>
      <c r="B29" s="189">
        <v>3000.0</v>
      </c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>
      <c r="A30" s="187">
        <v>46167.0</v>
      </c>
      <c r="B30" s="189">
        <v>3000.0</v>
      </c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>
      <c r="A31" s="194"/>
      <c r="B31" s="190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>
      <c r="A32" s="194"/>
      <c r="B32" s="188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>
      <c r="A33" s="194"/>
      <c r="B33" s="188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>
      <c r="A34" s="194"/>
      <c r="B34" s="188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>
      <c r="A35" s="194"/>
      <c r="B35" s="188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>
      <c r="A36" s="194"/>
      <c r="B36" s="188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>
      <c r="A37" s="194"/>
      <c r="B37" s="188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>
      <c r="A38" s="194"/>
      <c r="B38" s="188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>
      <c r="A39" s="194"/>
      <c r="B39" s="188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>
      <c r="A40" s="194"/>
      <c r="B40" s="188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>
      <c r="A41" s="194"/>
      <c r="B41" s="188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>
      <c r="A42" s="194"/>
      <c r="B42" s="188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>
      <c r="A43" s="194"/>
      <c r="B43" s="188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>
      <c r="A44" s="194"/>
      <c r="B44" s="188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>
      <c r="A45" s="194"/>
      <c r="B45" s="188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>
      <c r="A46" s="194"/>
      <c r="B46" s="188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>
      <c r="A47" s="194"/>
      <c r="B47" s="188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>
      <c r="A48" s="194"/>
      <c r="B48" s="188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>
      <c r="A49" s="194"/>
      <c r="B49" s="188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>
      <c r="A50" s="194"/>
      <c r="B50" s="188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>
      <c r="A51" s="194"/>
      <c r="B51" s="188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>
      <c r="A52" s="194"/>
      <c r="B52" s="188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>
      <c r="A53" s="194"/>
      <c r="B53" s="188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>
      <c r="A54" s="194"/>
      <c r="B54" s="188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>
      <c r="A55" s="194"/>
      <c r="B55" s="188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>
      <c r="A56" s="194"/>
      <c r="B56" s="188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>
      <c r="A57" s="194"/>
      <c r="B57" s="188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>
      <c r="A58" s="194"/>
      <c r="B58" s="188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>
      <c r="A59" s="194"/>
      <c r="B59" s="188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>
      <c r="A60" s="194"/>
      <c r="B60" s="188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>
      <c r="A61" s="194"/>
      <c r="B61" s="188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>
      <c r="A62" s="194"/>
      <c r="B62" s="188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>
      <c r="A63" s="194"/>
      <c r="B63" s="188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>
      <c r="A64" s="194"/>
      <c r="B64" s="188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>
      <c r="A65" s="194"/>
      <c r="B65" s="188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>
      <c r="A66" s="194"/>
      <c r="B66" s="188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>
      <c r="A67" s="194"/>
      <c r="B67" s="188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>
      <c r="A68" s="194"/>
      <c r="B68" s="188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>
      <c r="A69" s="194"/>
      <c r="B69" s="188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>
      <c r="A70" s="194"/>
      <c r="B70" s="188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>
      <c r="A71" s="194"/>
      <c r="B71" s="188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>
      <c r="A72" s="194"/>
      <c r="B72" s="188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>
      <c r="A73" s="194"/>
      <c r="B73" s="188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>
      <c r="A74" s="194"/>
      <c r="B74" s="188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>
      <c r="A75" s="194"/>
      <c r="B75" s="188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>
      <c r="A76" s="194"/>
      <c r="B76" s="188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>
      <c r="A77" s="194"/>
      <c r="B77" s="188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>
      <c r="A78" s="194"/>
      <c r="B78" s="188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>
      <c r="A79" s="194"/>
      <c r="B79" s="188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>
      <c r="A80" s="194"/>
      <c r="B80" s="188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>
      <c r="A81" s="194"/>
      <c r="B81" s="188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>
      <c r="A82" s="194"/>
      <c r="B82" s="188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>
      <c r="A83" s="194"/>
      <c r="B83" s="188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>
      <c r="A84" s="194"/>
      <c r="B84" s="188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>
      <c r="A85" s="194"/>
      <c r="B85" s="188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>
      <c r="A86" s="194"/>
      <c r="B86" s="188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>
      <c r="A87" s="194"/>
      <c r="B87" s="188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>
      <c r="A88" s="194"/>
      <c r="B88" s="188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>
      <c r="A89" s="194"/>
      <c r="B89" s="188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>
      <c r="A90" s="194"/>
      <c r="B90" s="188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>
      <c r="A91" s="194"/>
      <c r="B91" s="188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>
      <c r="A92" s="194"/>
      <c r="B92" s="188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>
      <c r="A93" s="194"/>
      <c r="B93" s="188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>
      <c r="A94" s="194"/>
      <c r="B94" s="188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>
      <c r="A95" s="194"/>
      <c r="B95" s="188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>
      <c r="A96" s="194"/>
      <c r="B96" s="188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>
      <c r="A97" s="194"/>
      <c r="B97" s="188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>
      <c r="A98" s="194"/>
      <c r="B98" s="188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>
      <c r="A99" s="194"/>
      <c r="B99" s="188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>
      <c r="A100" s="194"/>
      <c r="B100" s="188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>
      <c r="A101" s="194"/>
      <c r="B101" s="188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>
      <c r="A102" s="194"/>
      <c r="B102" s="188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>
      <c r="A103" s="194"/>
      <c r="B103" s="188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>
      <c r="A104" s="194"/>
      <c r="B104" s="188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>
      <c r="A105" s="194"/>
      <c r="B105" s="188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>
      <c r="A106" s="194"/>
      <c r="B106" s="188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>
      <c r="A107" s="194"/>
      <c r="B107" s="188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>
      <c r="A108" s="194"/>
      <c r="B108" s="188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>
      <c r="A109" s="194"/>
      <c r="B109" s="188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>
      <c r="A110" s="194"/>
      <c r="B110" s="188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>
      <c r="A111" s="194"/>
      <c r="B111" s="188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>
      <c r="A112" s="194"/>
      <c r="B112" s="188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>
      <c r="A113" s="194"/>
      <c r="B113" s="188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>
      <c r="A114" s="194"/>
      <c r="B114" s="188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>
      <c r="A115" s="194"/>
      <c r="B115" s="188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>
      <c r="A116" s="194"/>
      <c r="B116" s="188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>
      <c r="A117" s="194"/>
      <c r="B117" s="188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>
      <c r="A118" s="194"/>
      <c r="B118" s="188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>
      <c r="A119" s="194"/>
      <c r="B119" s="188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>
      <c r="A120" s="194"/>
      <c r="B120" s="188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>
      <c r="A121" s="194"/>
      <c r="B121" s="188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>
      <c r="A122" s="194"/>
      <c r="B122" s="188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>
      <c r="A123" s="194"/>
      <c r="B123" s="188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>
      <c r="A124" s="194"/>
      <c r="B124" s="188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>
      <c r="A125" s="194"/>
      <c r="B125" s="188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>
      <c r="A126" s="194"/>
      <c r="B126" s="188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>
      <c r="A127" s="194"/>
      <c r="B127" s="188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>
      <c r="A128" s="194"/>
      <c r="B128" s="188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>
      <c r="A129" s="194"/>
      <c r="B129" s="188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>
      <c r="A130" s="194"/>
      <c r="B130" s="188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>
      <c r="A131" s="194"/>
      <c r="B131" s="188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>
      <c r="A132" s="194"/>
      <c r="B132" s="188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>
      <c r="A133" s="194"/>
      <c r="B133" s="188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>
      <c r="A134" s="194"/>
      <c r="B134" s="188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>
      <c r="A135" s="194"/>
      <c r="B135" s="188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>
      <c r="A136" s="194"/>
      <c r="B136" s="188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>
      <c r="A137" s="194"/>
      <c r="B137" s="188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>
      <c r="A138" s="194"/>
      <c r="B138" s="188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>
      <c r="A139" s="194"/>
      <c r="B139" s="188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>
      <c r="A140" s="194"/>
      <c r="B140" s="188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>
      <c r="A141" s="194"/>
      <c r="B141" s="188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>
      <c r="A142" s="194"/>
      <c r="B142" s="188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>
      <c r="A143" s="194"/>
      <c r="B143" s="188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>
      <c r="A144" s="194"/>
      <c r="B144" s="188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>
      <c r="A145" s="194"/>
      <c r="B145" s="188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>
      <c r="A146" s="194"/>
      <c r="B146" s="188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>
      <c r="A147" s="194"/>
      <c r="B147" s="188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>
      <c r="A148" s="194"/>
      <c r="B148" s="188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>
      <c r="A149" s="194"/>
      <c r="B149" s="188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>
      <c r="A150" s="194"/>
      <c r="B150" s="188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>
      <c r="A151" s="194"/>
      <c r="B151" s="188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>
      <c r="A152" s="194"/>
      <c r="B152" s="188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>
      <c r="A153" s="194"/>
      <c r="B153" s="188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>
      <c r="A154" s="194"/>
      <c r="B154" s="188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>
      <c r="A155" s="194"/>
      <c r="B155" s="188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>
      <c r="A156" s="194"/>
      <c r="B156" s="188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>
      <c r="A157" s="194"/>
      <c r="B157" s="188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>
      <c r="A158" s="194"/>
      <c r="B158" s="188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>
      <c r="A159" s="194"/>
      <c r="B159" s="188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>
      <c r="A160" s="194"/>
      <c r="B160" s="188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>
      <c r="A161" s="194"/>
      <c r="B161" s="188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>
      <c r="A162" s="194"/>
      <c r="B162" s="188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>
      <c r="A163" s="194"/>
      <c r="B163" s="188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>
      <c r="A164" s="194"/>
      <c r="B164" s="188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>
      <c r="A165" s="194"/>
      <c r="B165" s="188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>
      <c r="A166" s="194"/>
      <c r="B166" s="188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>
      <c r="A167" s="194"/>
      <c r="B167" s="188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>
      <c r="A168" s="194"/>
      <c r="B168" s="188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>
      <c r="A169" s="194"/>
      <c r="B169" s="188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>
      <c r="A170" s="194"/>
      <c r="B170" s="188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>
      <c r="A171" s="194"/>
      <c r="B171" s="188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>
      <c r="A172" s="194"/>
      <c r="B172" s="188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>
      <c r="A173" s="194"/>
      <c r="B173" s="188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>
      <c r="A174" s="194"/>
      <c r="B174" s="188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>
      <c r="A175" s="194"/>
      <c r="B175" s="188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>
      <c r="A176" s="194"/>
      <c r="B176" s="188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>
      <c r="A177" s="194"/>
      <c r="B177" s="188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>
      <c r="A178" s="194"/>
      <c r="B178" s="188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>
      <c r="A179" s="194"/>
      <c r="B179" s="188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>
      <c r="A180" s="194"/>
      <c r="B180" s="188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>
      <c r="A181" s="194"/>
      <c r="B181" s="188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>
      <c r="A182" s="194"/>
      <c r="B182" s="188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>
      <c r="A183" s="194"/>
      <c r="B183" s="188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>
      <c r="A184" s="194"/>
      <c r="B184" s="188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>
      <c r="A185" s="194"/>
      <c r="B185" s="188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>
      <c r="A186" s="194"/>
      <c r="B186" s="188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>
      <c r="A187" s="194"/>
      <c r="B187" s="188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>
      <c r="A188" s="194"/>
      <c r="B188" s="188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>
      <c r="A189" s="194"/>
      <c r="B189" s="188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>
      <c r="A190" s="194"/>
      <c r="B190" s="188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>
      <c r="A191" s="194"/>
      <c r="B191" s="188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>
      <c r="A192" s="194"/>
      <c r="B192" s="188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>
      <c r="A193" s="194"/>
      <c r="B193" s="188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>
      <c r="A194" s="194"/>
      <c r="B194" s="188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>
      <c r="A195" s="194"/>
      <c r="B195" s="188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>
      <c r="A196" s="194"/>
      <c r="B196" s="188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>
      <c r="A197" s="194"/>
      <c r="B197" s="188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>
      <c r="A198" s="194"/>
      <c r="B198" s="188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>
      <c r="A199" s="194"/>
      <c r="B199" s="188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>
      <c r="A200" s="194"/>
      <c r="B200" s="188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>
      <c r="A201" s="194"/>
      <c r="B201" s="188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>
      <c r="A202" s="194"/>
      <c r="B202" s="195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>
      <c r="A203" s="194"/>
      <c r="B203" s="195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>
      <c r="A204" s="194"/>
      <c r="B204" s="195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>
      <c r="A205" s="194"/>
      <c r="B205" s="195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>
      <c r="A206" s="194"/>
      <c r="B206" s="195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>
      <c r="A207" s="194"/>
      <c r="B207" s="195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>
      <c r="A208" s="194"/>
      <c r="B208" s="195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>
      <c r="A209" s="194"/>
      <c r="B209" s="195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>
      <c r="A210" s="194"/>
      <c r="B210" s="195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>
      <c r="A211" s="194"/>
      <c r="B211" s="195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>
      <c r="A212" s="194"/>
      <c r="B212" s="195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>
      <c r="A213" s="194"/>
      <c r="B213" s="195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>
      <c r="A214" s="194"/>
      <c r="B214" s="195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>
      <c r="A215" s="194"/>
      <c r="B215" s="195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>
      <c r="A216" s="194"/>
      <c r="B216" s="195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>
      <c r="A217" s="194"/>
      <c r="B217" s="195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>
      <c r="A218" s="194"/>
      <c r="B218" s="195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>
      <c r="A219" s="194"/>
      <c r="B219" s="195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>
      <c r="A220" s="194"/>
      <c r="B220" s="195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>
      <c r="A221" s="194"/>
      <c r="B221" s="195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>
      <c r="A222" s="194"/>
      <c r="B222" s="195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>
      <c r="A223" s="194"/>
      <c r="B223" s="195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>
      <c r="A224" s="194"/>
      <c r="B224" s="195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>
      <c r="A225" s="194"/>
      <c r="B225" s="195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>
      <c r="A226" s="194"/>
      <c r="B226" s="195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>
      <c r="A227" s="194"/>
      <c r="B227" s="195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>
      <c r="A228" s="194"/>
      <c r="B228" s="195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>
      <c r="A229" s="194"/>
      <c r="B229" s="195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>
      <c r="A230" s="194"/>
      <c r="B230" s="195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>
      <c r="A231" s="194"/>
      <c r="B231" s="195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>
      <c r="A232" s="194"/>
      <c r="B232" s="195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>
      <c r="A233" s="194"/>
      <c r="B233" s="195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>
      <c r="A234" s="194"/>
      <c r="B234" s="195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>
      <c r="A235" s="194"/>
      <c r="B235" s="195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>
      <c r="A236" s="194"/>
      <c r="B236" s="195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>
      <c r="A237" s="194"/>
      <c r="B237" s="195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>
      <c r="A238" s="194"/>
      <c r="B238" s="195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>
      <c r="A239" s="194"/>
      <c r="B239" s="195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>
      <c r="A240" s="194"/>
      <c r="B240" s="195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>
      <c r="A241" s="194"/>
      <c r="B241" s="195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>
      <c r="A242" s="194"/>
      <c r="B242" s="195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>
      <c r="A243" s="194"/>
      <c r="B243" s="195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>
      <c r="A244" s="194"/>
      <c r="B244" s="195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>
      <c r="A245" s="194"/>
      <c r="B245" s="195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>
      <c r="A246" s="194"/>
      <c r="B246" s="195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>
      <c r="A247" s="194"/>
      <c r="B247" s="195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>
      <c r="A248" s="194"/>
      <c r="B248" s="195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>
      <c r="A249" s="194"/>
      <c r="B249" s="195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>
      <c r="A250" s="194"/>
      <c r="B250" s="195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>
      <c r="A251" s="194"/>
      <c r="B251" s="195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>
      <c r="A252" s="194"/>
      <c r="B252" s="195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>
      <c r="A253" s="194"/>
      <c r="B253" s="195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>
      <c r="A254" s="194"/>
      <c r="B254" s="195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>
      <c r="A255" s="194"/>
      <c r="B255" s="195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>
      <c r="A256" s="194"/>
      <c r="B256" s="195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>
      <c r="A257" s="194"/>
      <c r="B257" s="195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>
      <c r="A258" s="194"/>
      <c r="B258" s="195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>
      <c r="A259" s="194"/>
      <c r="B259" s="195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>
      <c r="A260" s="194"/>
      <c r="B260" s="195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>
      <c r="A261" s="194"/>
      <c r="B261" s="195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>
      <c r="A262" s="194"/>
      <c r="B262" s="195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>
      <c r="A263" s="194"/>
      <c r="B263" s="195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>
      <c r="A264" s="194"/>
      <c r="B264" s="195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>
      <c r="A265" s="194"/>
      <c r="B265" s="195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>
      <c r="A266" s="194"/>
      <c r="B266" s="195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>
      <c r="A267" s="194"/>
      <c r="B267" s="195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>
      <c r="A268" s="194"/>
      <c r="B268" s="195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>
      <c r="A269" s="194"/>
      <c r="B269" s="195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>
      <c r="A270" s="194"/>
      <c r="B270" s="195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>
      <c r="A271" s="194"/>
      <c r="B271" s="195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>
      <c r="A272" s="194"/>
      <c r="B272" s="195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>
      <c r="A273" s="194"/>
      <c r="B273" s="195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>
      <c r="A274" s="194"/>
      <c r="B274" s="195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>
      <c r="A275" s="194"/>
      <c r="B275" s="195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>
      <c r="A276" s="194"/>
      <c r="B276" s="195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>
      <c r="A277" s="194"/>
      <c r="B277" s="195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>
      <c r="A278" s="194"/>
      <c r="B278" s="195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>
      <c r="A279" s="194"/>
      <c r="B279" s="195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>
      <c r="A280" s="194"/>
      <c r="B280" s="195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>
      <c r="A281" s="194"/>
      <c r="B281" s="195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>
      <c r="A282" s="194"/>
      <c r="B282" s="195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>
      <c r="A283" s="194"/>
      <c r="B283" s="195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>
      <c r="A284" s="194"/>
      <c r="B284" s="195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>
      <c r="A285" s="194"/>
      <c r="B285" s="195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>
      <c r="A286" s="194"/>
      <c r="B286" s="195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>
      <c r="A287" s="194"/>
      <c r="B287" s="195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>
      <c r="A288" s="194"/>
      <c r="B288" s="195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>
      <c r="A289" s="194"/>
      <c r="B289" s="195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>
      <c r="A290" s="194"/>
      <c r="B290" s="195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>
      <c r="A291" s="194"/>
      <c r="B291" s="195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>
      <c r="A292" s="194"/>
      <c r="B292" s="195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>
      <c r="A293" s="194"/>
      <c r="B293" s="195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>
      <c r="A294" s="194"/>
      <c r="B294" s="195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>
      <c r="A295" s="194"/>
      <c r="B295" s="195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>
      <c r="A296" s="194"/>
      <c r="B296" s="195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>
      <c r="A297" s="194"/>
      <c r="B297" s="195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>
      <c r="A298" s="194"/>
      <c r="B298" s="195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>
      <c r="A299" s="194"/>
      <c r="B299" s="195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>
      <c r="A300" s="194"/>
      <c r="B300" s="195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>
      <c r="A301" s="194"/>
      <c r="B301" s="195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>
      <c r="A302" s="194"/>
      <c r="B302" s="195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>
      <c r="A303" s="194"/>
      <c r="B303" s="195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>
      <c r="A304" s="194"/>
      <c r="B304" s="195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>
      <c r="A305" s="194"/>
      <c r="B305" s="195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>
      <c r="A306" s="194"/>
      <c r="B306" s="195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>
      <c r="A307" s="194"/>
      <c r="B307" s="195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>
      <c r="A308" s="194"/>
      <c r="B308" s="195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>
      <c r="A309" s="194"/>
      <c r="B309" s="195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>
      <c r="A310" s="194"/>
      <c r="B310" s="195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>
      <c r="A311" s="194"/>
      <c r="B311" s="195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>
      <c r="A312" s="194"/>
      <c r="B312" s="195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>
      <c r="A313" s="194"/>
      <c r="B313" s="195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>
      <c r="A314" s="194"/>
      <c r="B314" s="195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>
      <c r="A315" s="194"/>
      <c r="B315" s="195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>
      <c r="A316" s="194"/>
      <c r="B316" s="195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>
      <c r="A317" s="194"/>
      <c r="B317" s="195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>
      <c r="A318" s="194"/>
      <c r="B318" s="195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>
      <c r="A319" s="194"/>
      <c r="B319" s="195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>
      <c r="A320" s="194"/>
      <c r="B320" s="195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>
      <c r="A321" s="194"/>
      <c r="B321" s="195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>
      <c r="A322" s="194"/>
      <c r="B322" s="195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>
      <c r="A323" s="194"/>
      <c r="B323" s="195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>
      <c r="A324" s="194"/>
      <c r="B324" s="195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>
      <c r="A325" s="194"/>
      <c r="B325" s="195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>
      <c r="A326" s="194"/>
      <c r="B326" s="195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>
      <c r="A327" s="194"/>
      <c r="B327" s="195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>
      <c r="A328" s="194"/>
      <c r="B328" s="195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>
      <c r="A329" s="194"/>
      <c r="B329" s="195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>
      <c r="A330" s="194"/>
      <c r="B330" s="195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>
      <c r="A331" s="194"/>
      <c r="B331" s="195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>
      <c r="A332" s="194"/>
      <c r="B332" s="195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>
      <c r="A333" s="194"/>
      <c r="B333" s="195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>
      <c r="A334" s="194"/>
      <c r="B334" s="195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>
      <c r="A335" s="194"/>
      <c r="B335" s="195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>
      <c r="A336" s="194"/>
      <c r="B336" s="195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>
      <c r="A337" s="194"/>
      <c r="B337" s="195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>
      <c r="A338" s="194"/>
      <c r="B338" s="195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>
      <c r="A339" s="194"/>
      <c r="B339" s="195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>
      <c r="A340" s="194"/>
      <c r="B340" s="195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>
      <c r="A341" s="194"/>
      <c r="B341" s="195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>
      <c r="A342" s="194"/>
      <c r="B342" s="195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>
      <c r="A343" s="194"/>
      <c r="B343" s="195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>
      <c r="A344" s="194"/>
      <c r="B344" s="195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>
      <c r="A345" s="194"/>
      <c r="B345" s="195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>
      <c r="A346" s="194"/>
      <c r="B346" s="195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>
      <c r="A347" s="194"/>
      <c r="B347" s="195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>
      <c r="A348" s="194"/>
      <c r="B348" s="195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>
      <c r="A349" s="194"/>
      <c r="B349" s="195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>
      <c r="A350" s="194"/>
      <c r="B350" s="195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>
      <c r="A351" s="194"/>
      <c r="B351" s="195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>
      <c r="A352" s="194"/>
      <c r="B352" s="195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>
      <c r="A353" s="194"/>
      <c r="B353" s="195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>
      <c r="A354" s="194"/>
      <c r="B354" s="195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>
      <c r="A355" s="194"/>
      <c r="B355" s="195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>
      <c r="A356" s="194"/>
      <c r="B356" s="195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>
      <c r="A357" s="194"/>
      <c r="B357" s="195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>
      <c r="A358" s="194"/>
      <c r="B358" s="195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>
      <c r="A359" s="194"/>
      <c r="B359" s="195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>
      <c r="A360" s="194"/>
      <c r="B360" s="195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>
      <c r="A361" s="194"/>
      <c r="B361" s="195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>
      <c r="A362" s="194"/>
      <c r="B362" s="195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>
      <c r="A363" s="194"/>
      <c r="B363" s="195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>
      <c r="A364" s="194"/>
      <c r="B364" s="195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>
      <c r="A365" s="194"/>
      <c r="B365" s="195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>
      <c r="A366" s="194"/>
      <c r="B366" s="195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>
      <c r="A367" s="194"/>
      <c r="B367" s="195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>
      <c r="A368" s="194"/>
      <c r="B368" s="195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>
      <c r="A369" s="194"/>
      <c r="B369" s="195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>
      <c r="A370" s="194"/>
      <c r="B370" s="195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>
      <c r="A371" s="194"/>
      <c r="B371" s="195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>
      <c r="A372" s="194"/>
      <c r="B372" s="195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>
      <c r="A373" s="194"/>
      <c r="B373" s="195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>
      <c r="A374" s="194"/>
      <c r="B374" s="195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>
      <c r="A375" s="194"/>
      <c r="B375" s="195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>
      <c r="A376" s="194"/>
      <c r="B376" s="195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>
      <c r="A377" s="194"/>
      <c r="B377" s="195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>
      <c r="A378" s="194"/>
      <c r="B378" s="195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>
      <c r="A379" s="194"/>
      <c r="B379" s="195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>
      <c r="A380" s="194"/>
      <c r="B380" s="195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>
      <c r="A381" s="194"/>
      <c r="B381" s="195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>
      <c r="A382" s="194"/>
      <c r="B382" s="195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>
      <c r="A383" s="194"/>
      <c r="B383" s="195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>
      <c r="A384" s="194"/>
      <c r="B384" s="195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>
      <c r="A385" s="194"/>
      <c r="B385" s="195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>
      <c r="A386" s="194"/>
      <c r="B386" s="195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>
      <c r="A387" s="194"/>
      <c r="B387" s="195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>
      <c r="A388" s="194"/>
      <c r="B388" s="195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>
      <c r="A389" s="194"/>
      <c r="B389" s="195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>
      <c r="A390" s="194"/>
      <c r="B390" s="195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>
      <c r="A391" s="194"/>
      <c r="B391" s="195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>
      <c r="A392" s="194"/>
      <c r="B392" s="195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>
      <c r="A393" s="194"/>
      <c r="B393" s="195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>
      <c r="A394" s="194"/>
      <c r="B394" s="195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>
      <c r="A395" s="194"/>
      <c r="B395" s="195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>
      <c r="A396" s="194"/>
      <c r="B396" s="195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>
      <c r="A397" s="194"/>
      <c r="B397" s="195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>
      <c r="A398" s="194"/>
      <c r="B398" s="195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>
      <c r="A399" s="194"/>
      <c r="B399" s="195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>
      <c r="A400" s="194"/>
      <c r="B400" s="195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>
      <c r="A401" s="194"/>
      <c r="B401" s="195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>
      <c r="A402" s="194"/>
      <c r="B402" s="195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>
      <c r="A403" s="194"/>
      <c r="B403" s="195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>
      <c r="A404" s="194"/>
      <c r="B404" s="195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>
      <c r="A405" s="194"/>
      <c r="B405" s="195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>
      <c r="A406" s="194"/>
      <c r="B406" s="195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>
      <c r="A407" s="194"/>
      <c r="B407" s="195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>
      <c r="A408" s="194"/>
      <c r="B408" s="195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>
      <c r="A409" s="194"/>
      <c r="B409" s="195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>
      <c r="A410" s="194"/>
      <c r="B410" s="195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>
      <c r="A411" s="194"/>
      <c r="B411" s="195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>
      <c r="A412" s="194"/>
      <c r="B412" s="195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>
      <c r="A413" s="194"/>
      <c r="B413" s="195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>
      <c r="A414" s="194"/>
      <c r="B414" s="195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>
      <c r="A415" s="194"/>
      <c r="B415" s="195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>
      <c r="A416" s="194"/>
      <c r="B416" s="195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>
      <c r="A417" s="194"/>
      <c r="B417" s="195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>
      <c r="A418" s="194"/>
      <c r="B418" s="195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>
      <c r="A419" s="194"/>
      <c r="B419" s="195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>
      <c r="A420" s="194"/>
      <c r="B420" s="195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>
      <c r="A421" s="194"/>
      <c r="B421" s="195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>
      <c r="A422" s="194"/>
      <c r="B422" s="195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>
      <c r="A423" s="194"/>
      <c r="B423" s="195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>
      <c r="A424" s="194"/>
      <c r="B424" s="195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>
      <c r="A425" s="194"/>
      <c r="B425" s="195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>
      <c r="A426" s="194"/>
      <c r="B426" s="195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>
      <c r="A427" s="194"/>
      <c r="B427" s="195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>
      <c r="A428" s="194"/>
      <c r="B428" s="195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>
      <c r="A429" s="194"/>
      <c r="B429" s="195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>
      <c r="A430" s="194"/>
      <c r="B430" s="195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>
      <c r="A431" s="194"/>
      <c r="B431" s="195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>
      <c r="A432" s="194"/>
      <c r="B432" s="195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>
      <c r="A433" s="194"/>
      <c r="B433" s="195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>
      <c r="A434" s="194"/>
      <c r="B434" s="195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>
      <c r="A435" s="194"/>
      <c r="B435" s="195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>
      <c r="A436" s="194"/>
      <c r="B436" s="195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>
      <c r="A437" s="194"/>
      <c r="B437" s="195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>
      <c r="A438" s="194"/>
      <c r="B438" s="195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>
      <c r="A439" s="194"/>
      <c r="B439" s="195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>
      <c r="A440" s="194"/>
      <c r="B440" s="195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>
      <c r="A441" s="194"/>
      <c r="B441" s="195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>
      <c r="A442" s="194"/>
      <c r="B442" s="195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>
      <c r="A443" s="194"/>
      <c r="B443" s="195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>
      <c r="A444" s="194"/>
      <c r="B444" s="195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>
      <c r="A445" s="194"/>
      <c r="B445" s="195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>
      <c r="A446" s="194"/>
      <c r="B446" s="195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>
      <c r="A447" s="194"/>
      <c r="B447" s="195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>
      <c r="A448" s="194"/>
      <c r="B448" s="195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>
      <c r="A449" s="194"/>
      <c r="B449" s="195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>
      <c r="A450" s="194"/>
      <c r="B450" s="195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>
      <c r="A451" s="194"/>
      <c r="B451" s="195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>
      <c r="A452" s="194"/>
      <c r="B452" s="195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>
      <c r="A453" s="194"/>
      <c r="B453" s="195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>
      <c r="A454" s="194"/>
      <c r="B454" s="195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>
      <c r="A455" s="194"/>
      <c r="B455" s="195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>
      <c r="A456" s="194"/>
      <c r="B456" s="195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>
      <c r="A457" s="194"/>
      <c r="B457" s="195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>
      <c r="A458" s="194"/>
      <c r="B458" s="195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>
      <c r="A459" s="194"/>
      <c r="B459" s="195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>
      <c r="A460" s="194"/>
      <c r="B460" s="195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>
      <c r="A461" s="194"/>
      <c r="B461" s="195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>
      <c r="A462" s="194"/>
      <c r="B462" s="195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>
      <c r="A463" s="194"/>
      <c r="B463" s="195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>
      <c r="A464" s="194"/>
      <c r="B464" s="195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>
      <c r="A465" s="194"/>
      <c r="B465" s="195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>
      <c r="A466" s="194"/>
      <c r="B466" s="195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>
      <c r="A467" s="194"/>
      <c r="B467" s="195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>
      <c r="A468" s="194"/>
      <c r="B468" s="195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>
      <c r="A469" s="194"/>
      <c r="B469" s="195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>
      <c r="A470" s="194"/>
      <c r="B470" s="195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>
      <c r="A471" s="194"/>
      <c r="B471" s="195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>
      <c r="A472" s="194"/>
      <c r="B472" s="195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>
      <c r="A473" s="194"/>
      <c r="B473" s="195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>
      <c r="A474" s="194"/>
      <c r="B474" s="195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>
      <c r="A475" s="194"/>
      <c r="B475" s="195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>
      <c r="A476" s="194"/>
      <c r="B476" s="195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>
      <c r="A477" s="194"/>
      <c r="B477" s="195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>
      <c r="A478" s="194"/>
      <c r="B478" s="195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>
      <c r="A479" s="194"/>
      <c r="B479" s="195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>
      <c r="A480" s="194"/>
      <c r="B480" s="195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>
      <c r="A481" s="194"/>
      <c r="B481" s="195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>
      <c r="A482" s="194"/>
      <c r="B482" s="195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>
      <c r="A483" s="194"/>
      <c r="B483" s="195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>
      <c r="A484" s="194"/>
      <c r="B484" s="195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>
      <c r="A485" s="194"/>
      <c r="B485" s="195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>
      <c r="A486" s="194"/>
      <c r="B486" s="195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>
      <c r="A487" s="194"/>
      <c r="B487" s="195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>
      <c r="A488" s="194"/>
      <c r="B488" s="195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>
      <c r="A489" s="194"/>
      <c r="B489" s="195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>
      <c r="A490" s="194"/>
      <c r="B490" s="195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>
      <c r="A491" s="194"/>
      <c r="B491" s="195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>
      <c r="A492" s="194"/>
      <c r="B492" s="195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>
      <c r="A493" s="194"/>
      <c r="B493" s="195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>
      <c r="A494" s="194"/>
      <c r="B494" s="195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>
      <c r="A495" s="194"/>
      <c r="B495" s="195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>
      <c r="A496" s="194"/>
      <c r="B496" s="195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>
      <c r="A497" s="194"/>
      <c r="B497" s="195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>
      <c r="A498" s="194"/>
      <c r="B498" s="195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>
      <c r="A499" s="194"/>
      <c r="B499" s="195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>
      <c r="A500" s="194"/>
      <c r="B500" s="195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>
      <c r="A501" s="194"/>
      <c r="B501" s="195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>
      <c r="A502" s="194"/>
      <c r="B502" s="195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>
      <c r="A503" s="194"/>
      <c r="B503" s="195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>
      <c r="A504" s="194"/>
      <c r="B504" s="195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>
      <c r="A505" s="194"/>
      <c r="B505" s="195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>
      <c r="A506" s="194"/>
      <c r="B506" s="195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>
      <c r="A507" s="194"/>
      <c r="B507" s="195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>
      <c r="A508" s="194"/>
      <c r="B508" s="195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>
      <c r="A509" s="194"/>
      <c r="B509" s="195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>
      <c r="A510" s="194"/>
      <c r="B510" s="195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>
      <c r="A511" s="194"/>
      <c r="B511" s="195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>
      <c r="A512" s="194"/>
      <c r="B512" s="195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>
      <c r="A513" s="194"/>
      <c r="B513" s="195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>
      <c r="A514" s="194"/>
      <c r="B514" s="195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>
      <c r="A515" s="194"/>
      <c r="B515" s="195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>
      <c r="A516" s="194"/>
      <c r="B516" s="195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>
      <c r="A517" s="194"/>
      <c r="B517" s="195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>
      <c r="A518" s="194"/>
      <c r="B518" s="195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>
      <c r="A519" s="194"/>
      <c r="B519" s="195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>
      <c r="A520" s="194"/>
      <c r="B520" s="195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>
      <c r="A521" s="194"/>
      <c r="B521" s="195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>
      <c r="A522" s="194"/>
      <c r="B522" s="195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>
      <c r="A523" s="194"/>
      <c r="B523" s="195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>
      <c r="A524" s="194"/>
      <c r="B524" s="195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>
      <c r="A525" s="194"/>
      <c r="B525" s="195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>
      <c r="A526" s="194"/>
      <c r="B526" s="195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>
      <c r="A527" s="194"/>
      <c r="B527" s="195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>
      <c r="A528" s="194"/>
      <c r="B528" s="195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>
      <c r="A529" s="194"/>
      <c r="B529" s="195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>
      <c r="A530" s="194"/>
      <c r="B530" s="195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>
      <c r="A531" s="194"/>
      <c r="B531" s="195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>
      <c r="A532" s="194"/>
      <c r="B532" s="195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>
      <c r="A533" s="194"/>
      <c r="B533" s="195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>
      <c r="A534" s="194"/>
      <c r="B534" s="195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>
      <c r="A535" s="194"/>
      <c r="B535" s="195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>
      <c r="A536" s="194"/>
      <c r="B536" s="195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>
      <c r="A537" s="194"/>
      <c r="B537" s="195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>
      <c r="A538" s="194"/>
      <c r="B538" s="195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>
      <c r="A539" s="194"/>
      <c r="B539" s="195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>
      <c r="A540" s="194"/>
      <c r="B540" s="195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>
      <c r="A541" s="194"/>
      <c r="B541" s="195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>
      <c r="A542" s="194"/>
      <c r="B542" s="195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>
      <c r="A543" s="194"/>
      <c r="B543" s="195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>
      <c r="A544" s="194"/>
      <c r="B544" s="195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>
      <c r="A545" s="194"/>
      <c r="B545" s="195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>
      <c r="A546" s="194"/>
      <c r="B546" s="195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>
      <c r="A547" s="194"/>
      <c r="B547" s="195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>
      <c r="A548" s="194"/>
      <c r="B548" s="195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>
      <c r="A549" s="194"/>
      <c r="B549" s="195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>
      <c r="A550" s="194"/>
      <c r="B550" s="195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>
      <c r="A551" s="194"/>
      <c r="B551" s="195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>
      <c r="A552" s="194"/>
      <c r="B552" s="195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>
      <c r="A553" s="194"/>
      <c r="B553" s="195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>
      <c r="A554" s="194"/>
      <c r="B554" s="195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>
      <c r="A555" s="194"/>
      <c r="B555" s="195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>
      <c r="A556" s="194"/>
      <c r="B556" s="195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>
      <c r="A557" s="194"/>
      <c r="B557" s="195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>
      <c r="A558" s="194"/>
      <c r="B558" s="195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>
      <c r="A559" s="194"/>
      <c r="B559" s="195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>
      <c r="A560" s="194"/>
      <c r="B560" s="195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>
      <c r="A561" s="194"/>
      <c r="B561" s="195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>
      <c r="A562" s="194"/>
      <c r="B562" s="195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>
      <c r="A563" s="194"/>
      <c r="B563" s="195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>
      <c r="A564" s="194"/>
      <c r="B564" s="195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>
      <c r="A565" s="194"/>
      <c r="B565" s="195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>
      <c r="A566" s="194"/>
      <c r="B566" s="195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>
      <c r="A567" s="194"/>
      <c r="B567" s="195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>
      <c r="A568" s="194"/>
      <c r="B568" s="195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>
      <c r="A569" s="194"/>
      <c r="B569" s="195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>
      <c r="A570" s="194"/>
      <c r="B570" s="195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>
      <c r="A571" s="194"/>
      <c r="B571" s="195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>
      <c r="A572" s="194"/>
      <c r="B572" s="195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>
      <c r="A573" s="194"/>
      <c r="B573" s="195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>
      <c r="A574" s="194"/>
      <c r="B574" s="195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>
      <c r="A575" s="194"/>
      <c r="B575" s="195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>
      <c r="A576" s="194"/>
      <c r="B576" s="195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>
      <c r="A577" s="194"/>
      <c r="B577" s="195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>
      <c r="A578" s="194"/>
      <c r="B578" s="195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>
      <c r="A579" s="194"/>
      <c r="B579" s="195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>
      <c r="A580" s="194"/>
      <c r="B580" s="195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>
      <c r="A581" s="194"/>
      <c r="B581" s="195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>
      <c r="A582" s="194"/>
      <c r="B582" s="195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>
      <c r="A583" s="194"/>
      <c r="B583" s="195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>
      <c r="A584" s="194"/>
      <c r="B584" s="195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>
      <c r="A585" s="194"/>
      <c r="B585" s="195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>
      <c r="A586" s="194"/>
      <c r="B586" s="195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>
      <c r="A587" s="194"/>
      <c r="B587" s="195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>
      <c r="A588" s="194"/>
      <c r="B588" s="195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>
      <c r="A589" s="194"/>
      <c r="B589" s="195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>
      <c r="A590" s="194"/>
      <c r="B590" s="195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>
      <c r="A591" s="194"/>
      <c r="B591" s="195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>
      <c r="A592" s="194"/>
      <c r="B592" s="195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>
      <c r="A593" s="194"/>
      <c r="B593" s="195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>
      <c r="A594" s="194"/>
      <c r="B594" s="195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>
      <c r="A595" s="194"/>
      <c r="B595" s="195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>
      <c r="A596" s="194"/>
      <c r="B596" s="195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>
      <c r="A597" s="194"/>
      <c r="B597" s="195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>
      <c r="A598" s="194"/>
      <c r="B598" s="195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>
      <c r="A599" s="194"/>
      <c r="B599" s="195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>
      <c r="A600" s="194"/>
      <c r="B600" s="195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>
      <c r="A601" s="194"/>
      <c r="B601" s="195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>
      <c r="A602" s="194"/>
      <c r="B602" s="195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>
      <c r="A603" s="194"/>
      <c r="B603" s="195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>
      <c r="A604" s="194"/>
      <c r="B604" s="195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>
      <c r="A605" s="194"/>
      <c r="B605" s="195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>
      <c r="A606" s="194"/>
      <c r="B606" s="195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>
      <c r="A607" s="194"/>
      <c r="B607" s="195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>
      <c r="A608" s="194"/>
      <c r="B608" s="195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>
      <c r="A609" s="194"/>
      <c r="B609" s="195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>
      <c r="A610" s="194"/>
      <c r="B610" s="195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>
      <c r="A611" s="194"/>
      <c r="B611" s="195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>
      <c r="A612" s="194"/>
      <c r="B612" s="195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>
      <c r="A613" s="194"/>
      <c r="B613" s="195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>
      <c r="A614" s="194"/>
      <c r="B614" s="195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>
      <c r="A615" s="194"/>
      <c r="B615" s="195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>
      <c r="A616" s="194"/>
      <c r="B616" s="195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>
      <c r="A617" s="194"/>
      <c r="B617" s="195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>
      <c r="A618" s="194"/>
      <c r="B618" s="195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>
      <c r="A619" s="194"/>
      <c r="B619" s="195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>
      <c r="A620" s="194"/>
      <c r="B620" s="195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>
      <c r="A621" s="194"/>
      <c r="B621" s="195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>
      <c r="A622" s="194"/>
      <c r="B622" s="195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>
      <c r="A623" s="194"/>
      <c r="B623" s="195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>
      <c r="A624" s="194"/>
      <c r="B624" s="195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>
      <c r="A625" s="194"/>
      <c r="B625" s="195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>
      <c r="A626" s="194"/>
      <c r="B626" s="195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>
      <c r="A627" s="194"/>
      <c r="B627" s="195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>
      <c r="A628" s="194"/>
      <c r="B628" s="195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>
      <c r="A629" s="194"/>
      <c r="B629" s="195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>
      <c r="A630" s="194"/>
      <c r="B630" s="195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>
      <c r="A631" s="194"/>
      <c r="B631" s="195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>
      <c r="A632" s="194"/>
      <c r="B632" s="195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>
      <c r="A633" s="194"/>
      <c r="B633" s="195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>
      <c r="A634" s="194"/>
      <c r="B634" s="195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>
      <c r="A635" s="194"/>
      <c r="B635" s="195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>
      <c r="A636" s="194"/>
      <c r="B636" s="195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>
      <c r="A637" s="194"/>
      <c r="B637" s="195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>
      <c r="A638" s="194"/>
      <c r="B638" s="195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>
      <c r="A639" s="194"/>
      <c r="B639" s="195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>
      <c r="A640" s="194"/>
      <c r="B640" s="195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>
      <c r="A641" s="194"/>
      <c r="B641" s="195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>
      <c r="A642" s="194"/>
      <c r="B642" s="195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>
      <c r="A643" s="194"/>
      <c r="B643" s="195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>
      <c r="A644" s="194"/>
      <c r="B644" s="195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>
      <c r="A645" s="194"/>
      <c r="B645" s="195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>
      <c r="A646" s="194"/>
      <c r="B646" s="195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>
      <c r="A647" s="194"/>
      <c r="B647" s="195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>
      <c r="A648" s="194"/>
      <c r="B648" s="195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>
      <c r="A649" s="194"/>
      <c r="B649" s="195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>
      <c r="A650" s="194"/>
      <c r="B650" s="195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>
      <c r="A651" s="194"/>
      <c r="B651" s="195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>
      <c r="A652" s="194"/>
      <c r="B652" s="195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>
      <c r="A653" s="194"/>
      <c r="B653" s="195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>
      <c r="A654" s="194"/>
      <c r="B654" s="195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>
      <c r="A655" s="194"/>
      <c r="B655" s="195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>
      <c r="A656" s="194"/>
      <c r="B656" s="195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>
      <c r="A657" s="194"/>
      <c r="B657" s="195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>
      <c r="A658" s="194"/>
      <c r="B658" s="195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>
      <c r="A659" s="194"/>
      <c r="B659" s="195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>
      <c r="A660" s="194"/>
      <c r="B660" s="195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>
      <c r="A661" s="194"/>
      <c r="B661" s="195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>
      <c r="A662" s="194"/>
      <c r="B662" s="195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>
      <c r="A663" s="194"/>
      <c r="B663" s="195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>
      <c r="A664" s="194"/>
      <c r="B664" s="195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>
      <c r="A665" s="194"/>
      <c r="B665" s="195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>
      <c r="A666" s="194"/>
      <c r="B666" s="195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>
      <c r="A667" s="194"/>
      <c r="B667" s="195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>
      <c r="A668" s="194"/>
      <c r="B668" s="195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>
      <c r="A669" s="194"/>
      <c r="B669" s="195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>
      <c r="A670" s="194"/>
      <c r="B670" s="195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>
      <c r="A671" s="194"/>
      <c r="B671" s="195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>
      <c r="A672" s="194"/>
      <c r="B672" s="195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>
      <c r="A673" s="194"/>
      <c r="B673" s="195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>
      <c r="A674" s="194"/>
      <c r="B674" s="195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>
      <c r="A675" s="194"/>
      <c r="B675" s="195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>
      <c r="A676" s="194"/>
      <c r="B676" s="195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>
      <c r="A677" s="194"/>
      <c r="B677" s="195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>
      <c r="A678" s="194"/>
      <c r="B678" s="195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>
      <c r="A679" s="194"/>
      <c r="B679" s="195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>
      <c r="A680" s="194"/>
      <c r="B680" s="195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>
      <c r="A681" s="194"/>
      <c r="B681" s="195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>
      <c r="A682" s="194"/>
      <c r="B682" s="195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>
      <c r="A683" s="194"/>
      <c r="B683" s="195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>
      <c r="A684" s="194"/>
      <c r="B684" s="195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>
      <c r="A685" s="194"/>
      <c r="B685" s="195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>
      <c r="A686" s="194"/>
      <c r="B686" s="195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>
      <c r="A687" s="194"/>
      <c r="B687" s="195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>
      <c r="A688" s="194"/>
      <c r="B688" s="195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>
      <c r="A689" s="194"/>
      <c r="B689" s="195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>
      <c r="A690" s="194"/>
      <c r="B690" s="195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>
      <c r="A691" s="194"/>
      <c r="B691" s="195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>
      <c r="A692" s="194"/>
      <c r="B692" s="195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>
      <c r="A693" s="194"/>
      <c r="B693" s="195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>
      <c r="A694" s="194"/>
      <c r="B694" s="195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>
      <c r="A695" s="194"/>
      <c r="B695" s="195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>
      <c r="A696" s="194"/>
      <c r="B696" s="195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>
      <c r="A697" s="194"/>
      <c r="B697" s="195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>
      <c r="A698" s="194"/>
      <c r="B698" s="195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>
      <c r="A699" s="194"/>
      <c r="B699" s="195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>
      <c r="A700" s="194"/>
      <c r="B700" s="195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>
      <c r="A701" s="194"/>
      <c r="B701" s="195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>
      <c r="A702" s="194"/>
      <c r="B702" s="195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>
      <c r="A703" s="194"/>
      <c r="B703" s="195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>
      <c r="A704" s="194"/>
      <c r="B704" s="195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>
      <c r="A705" s="194"/>
      <c r="B705" s="195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>
      <c r="A706" s="194"/>
      <c r="B706" s="195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>
      <c r="A707" s="194"/>
      <c r="B707" s="195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>
      <c r="A708" s="194"/>
      <c r="B708" s="195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>
      <c r="A709" s="194"/>
      <c r="B709" s="195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>
      <c r="A710" s="194"/>
      <c r="B710" s="195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>
      <c r="A711" s="194"/>
      <c r="B711" s="195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>
      <c r="A712" s="194"/>
      <c r="B712" s="195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>
      <c r="A713" s="194"/>
      <c r="B713" s="195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>
      <c r="A714" s="194"/>
      <c r="B714" s="195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>
      <c r="A715" s="194"/>
      <c r="B715" s="195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>
      <c r="A716" s="194"/>
      <c r="B716" s="195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>
      <c r="A717" s="194"/>
      <c r="B717" s="195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>
      <c r="A718" s="194"/>
      <c r="B718" s="195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>
      <c r="A719" s="194"/>
      <c r="B719" s="195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>
      <c r="A720" s="194"/>
      <c r="B720" s="195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>
      <c r="A721" s="194"/>
      <c r="B721" s="195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>
      <c r="A722" s="194"/>
      <c r="B722" s="195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>
      <c r="A723" s="194"/>
      <c r="B723" s="195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>
      <c r="A724" s="194"/>
      <c r="B724" s="195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>
      <c r="A725" s="194"/>
      <c r="B725" s="195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>
      <c r="A726" s="194"/>
      <c r="B726" s="195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>
      <c r="A727" s="194"/>
      <c r="B727" s="195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>
      <c r="A728" s="194"/>
      <c r="B728" s="195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>
      <c r="A729" s="194"/>
      <c r="B729" s="195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>
      <c r="A730" s="194"/>
      <c r="B730" s="195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>
      <c r="A731" s="194"/>
      <c r="B731" s="195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>
      <c r="A732" s="194"/>
      <c r="B732" s="195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>
      <c r="A733" s="194"/>
      <c r="B733" s="195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>
      <c r="A734" s="194"/>
      <c r="B734" s="195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>
      <c r="A735" s="194"/>
      <c r="B735" s="195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>
      <c r="A736" s="194"/>
      <c r="B736" s="195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>
      <c r="A737" s="194"/>
      <c r="B737" s="195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>
      <c r="A738" s="194"/>
      <c r="B738" s="195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>
      <c r="A739" s="194"/>
      <c r="B739" s="195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>
      <c r="A740" s="194"/>
      <c r="B740" s="195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>
      <c r="A741" s="194"/>
      <c r="B741" s="195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>
      <c r="A742" s="194"/>
      <c r="B742" s="195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>
      <c r="A743" s="194"/>
      <c r="B743" s="195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>
      <c r="A744" s="194"/>
      <c r="B744" s="195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>
      <c r="A745" s="194"/>
      <c r="B745" s="195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>
      <c r="A746" s="194"/>
      <c r="B746" s="195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>
      <c r="A747" s="194"/>
      <c r="B747" s="195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>
      <c r="A748" s="194"/>
      <c r="B748" s="195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>
      <c r="A749" s="194"/>
      <c r="B749" s="195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>
      <c r="A750" s="194"/>
      <c r="B750" s="195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>
      <c r="A751" s="194"/>
      <c r="B751" s="195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>
      <c r="A752" s="194"/>
      <c r="B752" s="195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>
      <c r="A753" s="194"/>
      <c r="B753" s="195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>
      <c r="A754" s="194"/>
      <c r="B754" s="195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>
      <c r="A755" s="194"/>
      <c r="B755" s="195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>
      <c r="A756" s="194"/>
      <c r="B756" s="195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>
      <c r="A757" s="194"/>
      <c r="B757" s="195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>
      <c r="A758" s="194"/>
      <c r="B758" s="195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>
      <c r="A759" s="194"/>
      <c r="B759" s="195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>
      <c r="A760" s="194"/>
      <c r="B760" s="195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>
      <c r="A761" s="194"/>
      <c r="B761" s="195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>
      <c r="A762" s="194"/>
      <c r="B762" s="195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>
      <c r="A763" s="194"/>
      <c r="B763" s="195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>
      <c r="A764" s="194"/>
      <c r="B764" s="195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>
      <c r="A765" s="194"/>
      <c r="B765" s="195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>
      <c r="A766" s="194"/>
      <c r="B766" s="195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>
      <c r="A767" s="194"/>
      <c r="B767" s="195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>
      <c r="A768" s="194"/>
      <c r="B768" s="195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>
      <c r="A769" s="194"/>
      <c r="B769" s="195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>
      <c r="A770" s="194"/>
      <c r="B770" s="195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>
      <c r="A771" s="194"/>
      <c r="B771" s="195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>
      <c r="A772" s="194"/>
      <c r="B772" s="195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>
      <c r="A773" s="194"/>
      <c r="B773" s="195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>
      <c r="A774" s="194"/>
      <c r="B774" s="195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>
      <c r="A775" s="194"/>
      <c r="B775" s="195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>
      <c r="A776" s="194"/>
      <c r="B776" s="195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>
      <c r="A777" s="194"/>
      <c r="B777" s="195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>
      <c r="A778" s="194"/>
      <c r="B778" s="195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>
      <c r="A779" s="194"/>
      <c r="B779" s="195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>
      <c r="A780" s="194"/>
      <c r="B780" s="195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>
      <c r="A781" s="194"/>
      <c r="B781" s="195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>
      <c r="A782" s="194"/>
      <c r="B782" s="195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>
      <c r="A783" s="194"/>
      <c r="B783" s="195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>
      <c r="A784" s="194"/>
      <c r="B784" s="195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>
      <c r="A785" s="194"/>
      <c r="B785" s="195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>
      <c r="A786" s="194"/>
      <c r="B786" s="195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>
      <c r="A787" s="194"/>
      <c r="B787" s="195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>
      <c r="A788" s="194"/>
      <c r="B788" s="195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>
      <c r="A789" s="194"/>
      <c r="B789" s="195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>
      <c r="A790" s="194"/>
      <c r="B790" s="195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>
      <c r="A791" s="194"/>
      <c r="B791" s="195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>
      <c r="A792" s="194"/>
      <c r="B792" s="195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>
      <c r="A793" s="194"/>
      <c r="B793" s="195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>
      <c r="A794" s="194"/>
      <c r="B794" s="195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>
      <c r="A795" s="194"/>
      <c r="B795" s="195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>
      <c r="A796" s="194"/>
      <c r="B796" s="195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>
      <c r="A797" s="194"/>
      <c r="B797" s="195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>
      <c r="A798" s="194"/>
      <c r="B798" s="195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>
      <c r="A799" s="194"/>
      <c r="B799" s="195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>
      <c r="A800" s="194"/>
      <c r="B800" s="195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>
      <c r="A801" s="194"/>
      <c r="B801" s="195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>
      <c r="A802" s="194"/>
      <c r="B802" s="195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>
      <c r="A803" s="194"/>
      <c r="B803" s="195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>
      <c r="A804" s="194"/>
      <c r="B804" s="195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>
      <c r="A805" s="194"/>
      <c r="B805" s="195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>
      <c r="A806" s="194"/>
      <c r="B806" s="195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>
      <c r="A807" s="194"/>
      <c r="B807" s="195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>
      <c r="A808" s="194"/>
      <c r="B808" s="195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>
      <c r="A809" s="194"/>
      <c r="B809" s="195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>
      <c r="A810" s="194"/>
      <c r="B810" s="195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>
      <c r="A811" s="194"/>
      <c r="B811" s="195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>
      <c r="A812" s="194"/>
      <c r="B812" s="195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>
      <c r="A813" s="194"/>
      <c r="B813" s="195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>
      <c r="A814" s="194"/>
      <c r="B814" s="195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>
      <c r="A815" s="194"/>
      <c r="B815" s="195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>
      <c r="A816" s="194"/>
      <c r="B816" s="195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>
      <c r="A817" s="194"/>
      <c r="B817" s="195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>
      <c r="A818" s="194"/>
      <c r="B818" s="195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>
      <c r="A819" s="194"/>
      <c r="B819" s="195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>
      <c r="A820" s="194"/>
      <c r="B820" s="195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>
      <c r="A821" s="194"/>
      <c r="B821" s="195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>
      <c r="A822" s="194"/>
      <c r="B822" s="195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>
      <c r="A823" s="194"/>
      <c r="B823" s="195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>
      <c r="A824" s="194"/>
      <c r="B824" s="195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>
      <c r="A825" s="194"/>
      <c r="B825" s="195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>
      <c r="A826" s="194"/>
      <c r="B826" s="195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>
      <c r="A827" s="194"/>
      <c r="B827" s="195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>
      <c r="A828" s="194"/>
      <c r="B828" s="195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>
      <c r="A829" s="194"/>
      <c r="B829" s="195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>
      <c r="A830" s="194"/>
      <c r="B830" s="195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>
      <c r="A831" s="194"/>
      <c r="B831" s="195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>
      <c r="A832" s="194"/>
      <c r="B832" s="195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>
      <c r="A833" s="194"/>
      <c r="B833" s="195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>
      <c r="A834" s="194"/>
      <c r="B834" s="195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>
      <c r="A835" s="194"/>
      <c r="B835" s="195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>
      <c r="A836" s="194"/>
      <c r="B836" s="195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>
      <c r="A837" s="194"/>
      <c r="B837" s="195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>
      <c r="A838" s="194"/>
      <c r="B838" s="195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>
      <c r="A839" s="194"/>
      <c r="B839" s="195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>
      <c r="A840" s="194"/>
      <c r="B840" s="195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>
      <c r="A841" s="194"/>
      <c r="B841" s="195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>
      <c r="A842" s="194"/>
      <c r="B842" s="195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>
      <c r="A843" s="194"/>
      <c r="B843" s="195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>
      <c r="A844" s="194"/>
      <c r="B844" s="195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>
      <c r="A845" s="194"/>
      <c r="B845" s="195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>
      <c r="A846" s="194"/>
      <c r="B846" s="195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>
      <c r="A847" s="194"/>
      <c r="B847" s="195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>
      <c r="A848" s="194"/>
      <c r="B848" s="195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>
      <c r="A849" s="194"/>
      <c r="B849" s="195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>
      <c r="A850" s="194"/>
      <c r="B850" s="195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>
      <c r="A851" s="194"/>
      <c r="B851" s="195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>
      <c r="A852" s="194"/>
      <c r="B852" s="195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>
      <c r="A853" s="194"/>
      <c r="B853" s="195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>
      <c r="A854" s="194"/>
      <c r="B854" s="195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>
      <c r="A855" s="194"/>
      <c r="B855" s="195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>
      <c r="A856" s="194"/>
      <c r="B856" s="195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>
      <c r="A857" s="194"/>
      <c r="B857" s="195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>
      <c r="A858" s="194"/>
      <c r="B858" s="195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>
      <c r="A859" s="194"/>
      <c r="B859" s="195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>
      <c r="A860" s="194"/>
      <c r="B860" s="195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>
      <c r="A861" s="194"/>
      <c r="B861" s="195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>
      <c r="A862" s="194"/>
      <c r="B862" s="195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>
      <c r="A863" s="194"/>
      <c r="B863" s="195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>
      <c r="A864" s="194"/>
      <c r="B864" s="195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>
      <c r="A865" s="194"/>
      <c r="B865" s="195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>
      <c r="A866" s="194"/>
      <c r="B866" s="195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>
      <c r="A867" s="194"/>
      <c r="B867" s="195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>
      <c r="A868" s="194"/>
      <c r="B868" s="195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>
      <c r="A869" s="194"/>
      <c r="B869" s="195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>
      <c r="A870" s="194"/>
      <c r="B870" s="195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>
      <c r="A871" s="194"/>
      <c r="B871" s="195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>
      <c r="A872" s="194"/>
      <c r="B872" s="195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>
      <c r="A873" s="194"/>
      <c r="B873" s="195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>
      <c r="A874" s="194"/>
      <c r="B874" s="195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>
      <c r="A875" s="194"/>
      <c r="B875" s="195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>
      <c r="A876" s="194"/>
      <c r="B876" s="195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>
      <c r="A877" s="194"/>
      <c r="B877" s="195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>
      <c r="A878" s="194"/>
      <c r="B878" s="195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>
      <c r="A879" s="194"/>
      <c r="B879" s="195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>
      <c r="A880" s="194"/>
      <c r="B880" s="195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>
      <c r="A881" s="194"/>
      <c r="B881" s="195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>
      <c r="A882" s="194"/>
      <c r="B882" s="195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>
      <c r="A883" s="194"/>
      <c r="B883" s="195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>
      <c r="A884" s="194"/>
      <c r="B884" s="195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>
      <c r="A885" s="194"/>
      <c r="B885" s="195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>
      <c r="A886" s="194"/>
      <c r="B886" s="195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>
      <c r="A887" s="194"/>
      <c r="B887" s="195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>
      <c r="A888" s="194"/>
      <c r="B888" s="195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>
      <c r="A889" s="194"/>
      <c r="B889" s="195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>
      <c r="A890" s="194"/>
      <c r="B890" s="195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>
      <c r="A891" s="194"/>
      <c r="B891" s="195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>
      <c r="A892" s="194"/>
      <c r="B892" s="195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>
      <c r="A893" s="194"/>
      <c r="B893" s="195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>
      <c r="A894" s="194"/>
      <c r="B894" s="195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>
      <c r="A895" s="194"/>
      <c r="B895" s="195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>
      <c r="A896" s="194"/>
      <c r="B896" s="195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>
      <c r="A897" s="194"/>
      <c r="B897" s="195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>
      <c r="A898" s="194"/>
      <c r="B898" s="195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>
      <c r="A899" s="194"/>
      <c r="B899" s="195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>
      <c r="A900" s="194"/>
      <c r="B900" s="195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>
      <c r="A901" s="194"/>
      <c r="B901" s="195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>
      <c r="A902" s="194"/>
      <c r="B902" s="195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>
      <c r="A903" s="194"/>
      <c r="B903" s="195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>
      <c r="A904" s="194"/>
      <c r="B904" s="195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>
      <c r="A905" s="194"/>
      <c r="B905" s="195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>
      <c r="A906" s="194"/>
      <c r="B906" s="195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>
      <c r="A907" s="194"/>
      <c r="B907" s="195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>
      <c r="A908" s="194"/>
      <c r="B908" s="195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>
      <c r="A909" s="194"/>
      <c r="B909" s="195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>
      <c r="A910" s="194"/>
      <c r="B910" s="195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>
      <c r="A911" s="194"/>
      <c r="B911" s="195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>
      <c r="A912" s="194"/>
      <c r="B912" s="195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>
      <c r="A913" s="194"/>
      <c r="B913" s="195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>
      <c r="A914" s="194"/>
      <c r="B914" s="195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>
      <c r="A915" s="194"/>
      <c r="B915" s="195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>
      <c r="A916" s="194"/>
      <c r="B916" s="195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>
      <c r="A917" s="194"/>
      <c r="B917" s="195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>
      <c r="A918" s="194"/>
      <c r="B918" s="195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>
      <c r="A919" s="194"/>
      <c r="B919" s="195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>
      <c r="A920" s="194"/>
      <c r="B920" s="195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>
      <c r="A921" s="194"/>
      <c r="B921" s="195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>
      <c r="A922" s="194"/>
      <c r="B922" s="195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>
      <c r="A923" s="194"/>
      <c r="B923" s="195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>
      <c r="A924" s="194"/>
      <c r="B924" s="195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>
      <c r="A925" s="194"/>
      <c r="B925" s="195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>
      <c r="A926" s="194"/>
      <c r="B926" s="195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>
      <c r="A927" s="194"/>
      <c r="B927" s="195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>
      <c r="A928" s="194"/>
      <c r="B928" s="195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>
      <c r="A929" s="194"/>
      <c r="B929" s="195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>
      <c r="A930" s="194"/>
      <c r="B930" s="195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>
      <c r="A931" s="194"/>
      <c r="B931" s="195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>
      <c r="A932" s="194"/>
      <c r="B932" s="195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>
      <c r="A933" s="194"/>
      <c r="B933" s="195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>
      <c r="A934" s="194"/>
      <c r="B934" s="195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>
      <c r="A935" s="194"/>
      <c r="B935" s="195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>
      <c r="A936" s="194"/>
      <c r="B936" s="195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>
      <c r="A937" s="194"/>
      <c r="B937" s="195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>
      <c r="A938" s="194"/>
      <c r="B938" s="195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>
      <c r="A939" s="194"/>
      <c r="B939" s="195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>
      <c r="A940" s="194"/>
      <c r="B940" s="195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>
      <c r="A941" s="194"/>
      <c r="B941" s="195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>
      <c r="A942" s="194"/>
      <c r="B942" s="195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>
      <c r="A943" s="194"/>
      <c r="B943" s="195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>
      <c r="A944" s="194"/>
      <c r="B944" s="195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>
      <c r="A945" s="194"/>
      <c r="B945" s="195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>
      <c r="A946" s="194"/>
      <c r="B946" s="195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>
      <c r="A947" s="194"/>
      <c r="B947" s="195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>
      <c r="A948" s="194"/>
      <c r="B948" s="195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>
      <c r="A949" s="194"/>
      <c r="B949" s="195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>
      <c r="A950" s="194"/>
      <c r="B950" s="195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>
      <c r="A951" s="194"/>
      <c r="B951" s="195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>
      <c r="A952" s="194"/>
      <c r="B952" s="195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>
      <c r="A953" s="194"/>
      <c r="B953" s="195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>
      <c r="A954" s="194"/>
      <c r="B954" s="195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>
      <c r="A955" s="194"/>
      <c r="B955" s="195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>
      <c r="A956" s="194"/>
      <c r="B956" s="195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>
      <c r="A957" s="194"/>
      <c r="B957" s="195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>
      <c r="A958" s="194"/>
      <c r="B958" s="195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>
      <c r="A959" s="194"/>
      <c r="B959" s="195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>
      <c r="A960" s="194"/>
      <c r="B960" s="195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>
      <c r="A961" s="194"/>
      <c r="B961" s="195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>
      <c r="A962" s="194"/>
      <c r="B962" s="195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>
      <c r="A963" s="194"/>
      <c r="B963" s="195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>
      <c r="A964" s="194"/>
      <c r="B964" s="195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>
      <c r="A965" s="194"/>
      <c r="B965" s="195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>
      <c r="A966" s="194"/>
      <c r="B966" s="195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>
      <c r="A967" s="194"/>
      <c r="B967" s="195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>
      <c r="A968" s="194"/>
      <c r="B968" s="195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>
      <c r="A969" s="194"/>
      <c r="B969" s="195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>
      <c r="A970" s="194"/>
      <c r="B970" s="195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>
      <c r="A971" s="194"/>
      <c r="B971" s="195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>
      <c r="A972" s="194"/>
      <c r="B972" s="195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>
      <c r="A973" s="194"/>
      <c r="B973" s="195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>
      <c r="A974" s="194"/>
      <c r="B974" s="195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>
      <c r="A975" s="194"/>
      <c r="B975" s="195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>
      <c r="A976" s="194"/>
      <c r="B976" s="195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>
      <c r="A977" s="194"/>
      <c r="B977" s="195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>
      <c r="A978" s="194"/>
      <c r="B978" s="195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>
      <c r="A979" s="194"/>
      <c r="B979" s="195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>
      <c r="A980" s="194"/>
      <c r="B980" s="195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>
      <c r="A981" s="194"/>
      <c r="B981" s="195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>
      <c r="A982" s="194"/>
      <c r="B982" s="195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>
      <c r="A983" s="194"/>
      <c r="B983" s="195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>
      <c r="A984" s="194"/>
      <c r="B984" s="195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>
      <c r="A985" s="194"/>
      <c r="B985" s="195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>
      <c r="A986" s="194"/>
      <c r="B986" s="195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>
      <c r="A987" s="194"/>
      <c r="B987" s="195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>
      <c r="A988" s="194"/>
      <c r="B988" s="195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>
      <c r="A989" s="194"/>
      <c r="B989" s="195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>
      <c r="A990" s="194"/>
      <c r="B990" s="195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>
      <c r="A991" s="194"/>
      <c r="B991" s="195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>
      <c r="A992" s="194"/>
      <c r="B992" s="195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>
      <c r="A993" s="194"/>
      <c r="B993" s="195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>
      <c r="A994" s="194"/>
      <c r="B994" s="195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>
      <c r="A995" s="194"/>
      <c r="B995" s="195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>
      <c r="A996" s="194"/>
      <c r="B996" s="195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>
      <c r="A997" s="194"/>
      <c r="B997" s="195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>
      <c r="A998" s="194"/>
      <c r="B998" s="195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  <row r="999">
      <c r="A999" s="194"/>
      <c r="B999" s="195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</row>
    <row r="1000">
      <c r="A1000" s="194"/>
      <c r="B1000" s="195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7.38"/>
    <col customWidth="1" min="3" max="3" width="17.75"/>
    <col customWidth="1" min="4" max="4" width="16.13"/>
    <col customWidth="1" min="5" max="5" width="19.13"/>
    <col customWidth="1" min="6" max="6" width="22.0"/>
    <col customWidth="1" min="7" max="7" width="14.38"/>
    <col customWidth="1" min="8" max="8" width="33.63"/>
    <col customWidth="1" min="9" max="9" width="24.5"/>
    <col customWidth="1" min="10" max="10" width="22.0"/>
    <col customWidth="1" min="11" max="11" width="14.13"/>
    <col customWidth="1" min="12" max="12" width="19.13"/>
    <col customWidth="1" min="13" max="13" width="11.25"/>
    <col customWidth="1" min="14" max="14" width="2.88"/>
    <col customWidth="1" min="15" max="15" width="16.38"/>
  </cols>
  <sheetData>
    <row r="1">
      <c r="A1" s="196" t="s">
        <v>23</v>
      </c>
      <c r="B1" s="196" t="s">
        <v>20</v>
      </c>
      <c r="C1" s="197" t="s">
        <v>15</v>
      </c>
      <c r="D1" s="197" t="s">
        <v>42</v>
      </c>
      <c r="E1" s="197" t="s">
        <v>172</v>
      </c>
      <c r="F1" s="197" t="s">
        <v>27</v>
      </c>
      <c r="G1" s="197" t="s">
        <v>1029</v>
      </c>
      <c r="H1" s="197" t="s">
        <v>62</v>
      </c>
      <c r="I1" s="197" t="s">
        <v>159</v>
      </c>
      <c r="J1" s="197" t="s">
        <v>39</v>
      </c>
      <c r="K1" s="197" t="s">
        <v>58</v>
      </c>
      <c r="L1" s="197" t="s">
        <v>272</v>
      </c>
      <c r="M1" s="197" t="s">
        <v>21</v>
      </c>
      <c r="N1" s="198"/>
      <c r="O1" s="197" t="s">
        <v>6</v>
      </c>
    </row>
    <row r="2">
      <c r="A2" s="199" t="s">
        <v>24</v>
      </c>
      <c r="B2" s="199" t="s">
        <v>1030</v>
      </c>
      <c r="C2" s="200" t="s">
        <v>144</v>
      </c>
      <c r="D2" s="199" t="s">
        <v>43</v>
      </c>
      <c r="E2" s="201" t="s">
        <v>1031</v>
      </c>
      <c r="F2" s="201" t="s">
        <v>28</v>
      </c>
      <c r="G2" s="201" t="s">
        <v>11</v>
      </c>
      <c r="H2" s="201" t="s">
        <v>1032</v>
      </c>
      <c r="I2" s="201" t="s">
        <v>161</v>
      </c>
      <c r="J2" s="201" t="s">
        <v>40</v>
      </c>
      <c r="K2" s="201" t="s">
        <v>58</v>
      </c>
      <c r="L2" s="201" t="s">
        <v>273</v>
      </c>
      <c r="M2" s="201" t="s">
        <v>471</v>
      </c>
      <c r="N2" s="202"/>
      <c r="O2" s="201" t="s">
        <v>84</v>
      </c>
    </row>
    <row r="3">
      <c r="A3" s="199" t="s">
        <v>1033</v>
      </c>
      <c r="B3" s="199" t="s">
        <v>1034</v>
      </c>
      <c r="C3" s="201" t="s">
        <v>75</v>
      </c>
      <c r="D3" s="199" t="s">
        <v>46</v>
      </c>
      <c r="E3" s="201" t="s">
        <v>577</v>
      </c>
      <c r="F3" s="201" t="s">
        <v>116</v>
      </c>
      <c r="G3" s="201" t="s">
        <v>1035</v>
      </c>
      <c r="H3" s="201" t="s">
        <v>83</v>
      </c>
      <c r="I3" s="201" t="s">
        <v>20</v>
      </c>
      <c r="J3" s="201" t="s">
        <v>114</v>
      </c>
      <c r="K3" s="201"/>
      <c r="L3" s="201" t="s">
        <v>1036</v>
      </c>
      <c r="M3" s="201" t="s">
        <v>1037</v>
      </c>
      <c r="N3" s="202"/>
      <c r="O3" s="201" t="s">
        <v>281</v>
      </c>
    </row>
    <row r="4">
      <c r="A4" s="199" t="s">
        <v>685</v>
      </c>
      <c r="B4" s="199" t="s">
        <v>1038</v>
      </c>
      <c r="C4" s="203" t="s">
        <v>16</v>
      </c>
      <c r="D4" s="199" t="s">
        <v>1039</v>
      </c>
      <c r="E4" s="201" t="s">
        <v>173</v>
      </c>
      <c r="F4" s="201" t="s">
        <v>154</v>
      </c>
      <c r="G4" s="201" t="s">
        <v>13</v>
      </c>
      <c r="H4" s="199" t="s">
        <v>63</v>
      </c>
      <c r="I4" s="204" t="s">
        <v>65</v>
      </c>
      <c r="J4" s="201" t="s">
        <v>532</v>
      </c>
      <c r="K4" s="201"/>
      <c r="L4" s="199" t="s">
        <v>588</v>
      </c>
      <c r="M4" s="201" t="s">
        <v>103</v>
      </c>
      <c r="N4" s="202"/>
      <c r="O4" s="201" t="s">
        <v>1040</v>
      </c>
    </row>
    <row r="5">
      <c r="A5" s="201" t="s">
        <v>1041</v>
      </c>
      <c r="B5" s="199" t="s">
        <v>1042</v>
      </c>
      <c r="C5" s="203" t="s">
        <v>1043</v>
      </c>
      <c r="D5" s="199" t="s">
        <v>94</v>
      </c>
      <c r="E5" s="201" t="s">
        <v>1044</v>
      </c>
      <c r="F5" s="201" t="s">
        <v>124</v>
      </c>
      <c r="G5" s="201" t="s">
        <v>99</v>
      </c>
      <c r="H5" s="199" t="s">
        <v>140</v>
      </c>
      <c r="I5" s="203" t="s">
        <v>16</v>
      </c>
      <c r="J5" s="201" t="s">
        <v>544</v>
      </c>
      <c r="K5" s="201"/>
      <c r="L5" s="201"/>
      <c r="M5" s="201" t="s">
        <v>179</v>
      </c>
      <c r="N5" s="202"/>
      <c r="O5" s="205" t="s">
        <v>1045</v>
      </c>
    </row>
    <row r="6">
      <c r="A6" s="199" t="s">
        <v>1033</v>
      </c>
      <c r="B6" s="199" t="s">
        <v>1046</v>
      </c>
      <c r="C6" s="206"/>
      <c r="D6" s="201" t="s">
        <v>96</v>
      </c>
      <c r="E6" s="207"/>
      <c r="F6" s="203" t="s">
        <v>1047</v>
      </c>
      <c r="G6" s="201"/>
      <c r="H6" s="199" t="s">
        <v>86</v>
      </c>
      <c r="I6" s="203" t="s">
        <v>1048</v>
      </c>
      <c r="J6" s="203" t="s">
        <v>1047</v>
      </c>
      <c r="K6" s="201"/>
      <c r="L6" s="201"/>
      <c r="M6" s="201" t="s">
        <v>1049</v>
      </c>
      <c r="N6" s="202"/>
      <c r="O6" s="205" t="s">
        <v>77</v>
      </c>
    </row>
    <row r="7">
      <c r="A7" s="199" t="s">
        <v>91</v>
      </c>
      <c r="B7" s="201" t="s">
        <v>1050</v>
      </c>
      <c r="C7" s="206"/>
      <c r="D7" s="201" t="s">
        <v>157</v>
      </c>
      <c r="E7" s="207"/>
      <c r="F7" s="206"/>
      <c r="G7" s="201"/>
      <c r="H7" s="206"/>
      <c r="I7" s="203" t="s">
        <v>1051</v>
      </c>
      <c r="J7" s="206"/>
      <c r="K7" s="201"/>
      <c r="L7" s="201"/>
      <c r="M7" s="201" t="s">
        <v>56</v>
      </c>
      <c r="N7" s="208"/>
      <c r="O7" s="201" t="s">
        <v>19</v>
      </c>
    </row>
    <row r="8">
      <c r="A8" s="199" t="s">
        <v>1052</v>
      </c>
      <c r="B8" s="204" t="s">
        <v>1053</v>
      </c>
      <c r="C8" s="206"/>
      <c r="D8" s="206"/>
      <c r="E8" s="207"/>
      <c r="F8" s="206"/>
      <c r="G8" s="206"/>
      <c r="H8" s="206"/>
      <c r="I8" s="207"/>
      <c r="J8" s="206"/>
      <c r="K8" s="201"/>
      <c r="L8" s="205"/>
      <c r="M8" s="201" t="s">
        <v>169</v>
      </c>
      <c r="N8" s="202"/>
      <c r="O8" s="201" t="s">
        <v>1054</v>
      </c>
    </row>
    <row r="9">
      <c r="A9" s="199" t="s">
        <v>112</v>
      </c>
      <c r="B9" s="201"/>
      <c r="C9" s="206"/>
      <c r="D9" s="206"/>
      <c r="E9" s="201"/>
      <c r="F9" s="206"/>
      <c r="G9" s="206"/>
      <c r="H9" s="206"/>
      <c r="I9" s="206"/>
      <c r="J9" s="206"/>
      <c r="K9" s="201"/>
      <c r="L9" s="205"/>
      <c r="M9" s="203" t="s">
        <v>65</v>
      </c>
      <c r="N9" s="208"/>
      <c r="O9" s="201" t="s">
        <v>156</v>
      </c>
    </row>
    <row r="10">
      <c r="A10" s="199"/>
      <c r="B10" s="207"/>
      <c r="C10" s="206"/>
      <c r="D10" s="206"/>
      <c r="E10" s="206"/>
      <c r="F10" s="206"/>
      <c r="G10" s="206"/>
      <c r="H10" s="206"/>
      <c r="I10" s="206"/>
      <c r="J10" s="206"/>
      <c r="K10" s="206"/>
      <c r="L10" s="205"/>
      <c r="M10" s="203" t="s">
        <v>249</v>
      </c>
      <c r="N10" s="209"/>
      <c r="O10" s="201" t="s">
        <v>155</v>
      </c>
    </row>
    <row r="11">
      <c r="A11" s="200"/>
      <c r="B11" s="210"/>
      <c r="C11" s="206"/>
      <c r="D11" s="206"/>
      <c r="E11" s="206"/>
      <c r="F11" s="206"/>
      <c r="G11" s="206"/>
      <c r="H11" s="206"/>
      <c r="I11" s="206"/>
      <c r="J11" s="206"/>
      <c r="K11" s="206"/>
      <c r="L11" s="205"/>
      <c r="M11" s="203" t="s">
        <v>16</v>
      </c>
      <c r="N11" s="211"/>
      <c r="O11" s="201" t="s">
        <v>47</v>
      </c>
    </row>
    <row r="12">
      <c r="A12" s="200"/>
      <c r="B12" s="205"/>
      <c r="C12" s="206"/>
      <c r="D12" s="206"/>
      <c r="E12" s="206"/>
      <c r="F12" s="206"/>
      <c r="G12" s="206"/>
      <c r="H12" s="206"/>
      <c r="I12" s="206"/>
      <c r="J12" s="206"/>
      <c r="K12" s="206"/>
      <c r="L12" s="205"/>
      <c r="M12" s="203" t="s">
        <v>336</v>
      </c>
      <c r="N12" s="211"/>
      <c r="O12" s="201" t="s">
        <v>36</v>
      </c>
    </row>
    <row r="13">
      <c r="A13" s="200"/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3" t="s">
        <v>21</v>
      </c>
      <c r="N13" s="211"/>
      <c r="O13" s="201" t="s">
        <v>26</v>
      </c>
    </row>
    <row r="14">
      <c r="A14" s="200"/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11"/>
      <c r="O14" s="201" t="s">
        <v>181</v>
      </c>
    </row>
    <row r="15">
      <c r="A15" s="206"/>
      <c r="B15" s="201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11"/>
      <c r="O15" s="201" t="s">
        <v>195</v>
      </c>
    </row>
    <row r="16">
      <c r="A16" s="206"/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11"/>
      <c r="O16" s="199" t="s">
        <v>82</v>
      </c>
    </row>
    <row r="17">
      <c r="A17" s="206"/>
      <c r="B17" s="206"/>
      <c r="C17" s="206"/>
      <c r="D17" s="206"/>
      <c r="E17" s="206"/>
      <c r="F17" s="206"/>
      <c r="G17" s="212"/>
      <c r="H17" s="206"/>
      <c r="I17" s="212"/>
      <c r="J17" s="206"/>
      <c r="K17" s="206"/>
      <c r="L17" s="206"/>
      <c r="M17" s="206"/>
      <c r="N17" s="211"/>
      <c r="O17" s="199" t="s">
        <v>177</v>
      </c>
    </row>
    <row r="18">
      <c r="A18" s="206"/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11"/>
      <c r="O18" s="201" t="s">
        <v>33</v>
      </c>
    </row>
    <row r="19">
      <c r="A19" s="206"/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11"/>
      <c r="O19" s="201" t="s">
        <v>30</v>
      </c>
    </row>
    <row r="20">
      <c r="A20" s="206"/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11"/>
      <c r="O20" s="201" t="s">
        <v>76</v>
      </c>
    </row>
    <row r="21">
      <c r="A21" s="206"/>
      <c r="B21" s="206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11"/>
      <c r="O21" s="201" t="s">
        <v>204</v>
      </c>
    </row>
    <row r="22">
      <c r="A22" s="206"/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11"/>
      <c r="O22" s="201" t="s">
        <v>229</v>
      </c>
    </row>
    <row r="23">
      <c r="A23" s="206"/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11"/>
      <c r="O23" s="201" t="s">
        <v>259</v>
      </c>
    </row>
    <row r="24">
      <c r="A24" s="206"/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11"/>
      <c r="O24" s="201" t="s">
        <v>306</v>
      </c>
    </row>
    <row r="25">
      <c r="A25" s="206"/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11"/>
      <c r="O25" s="201" t="s">
        <v>309</v>
      </c>
    </row>
    <row r="26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11"/>
      <c r="O26" s="201" t="s">
        <v>327</v>
      </c>
    </row>
    <row r="27">
      <c r="A27" s="20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11"/>
      <c r="O27" s="201" t="s">
        <v>344</v>
      </c>
    </row>
    <row r="28">
      <c r="A28" s="206"/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11"/>
      <c r="O28" s="201" t="s">
        <v>360</v>
      </c>
    </row>
    <row r="29">
      <c r="A29" s="206"/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11"/>
      <c r="O29" s="201" t="s">
        <v>356</v>
      </c>
    </row>
    <row r="30">
      <c r="A30" s="206"/>
      <c r="B30" s="201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11"/>
      <c r="O30" s="201" t="s">
        <v>433</v>
      </c>
    </row>
    <row r="31">
      <c r="A31" s="206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11"/>
      <c r="O31" s="201" t="s">
        <v>431</v>
      </c>
    </row>
    <row r="32">
      <c r="A32" s="206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11"/>
      <c r="O32" s="201" t="s">
        <v>477</v>
      </c>
    </row>
    <row r="33">
      <c r="A33" s="206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11"/>
      <c r="O33" s="91" t="s">
        <v>517</v>
      </c>
    </row>
    <row r="34">
      <c r="A34" s="206"/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11"/>
      <c r="O34" s="201" t="s">
        <v>1055</v>
      </c>
    </row>
    <row r="35">
      <c r="A35" s="206"/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11"/>
      <c r="O35" s="206"/>
    </row>
    <row r="36">
      <c r="A36" s="206"/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11"/>
      <c r="O36" s="206"/>
    </row>
    <row r="37">
      <c r="A37" s="206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11"/>
      <c r="O37" s="206"/>
    </row>
    <row r="38">
      <c r="A38" s="206"/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11"/>
      <c r="O38" s="206"/>
    </row>
    <row r="39">
      <c r="A39" s="206"/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11"/>
      <c r="O39" s="206"/>
    </row>
    <row r="40">
      <c r="A40" s="206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11"/>
      <c r="O40" s="206"/>
    </row>
    <row r="41">
      <c r="A41" s="206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11"/>
      <c r="O41" s="206"/>
    </row>
    <row r="42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11"/>
      <c r="O42" s="206"/>
    </row>
    <row r="43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11"/>
      <c r="O43" s="206"/>
    </row>
    <row r="44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11"/>
      <c r="O44" s="206"/>
    </row>
    <row r="45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11"/>
      <c r="O45" s="206"/>
    </row>
    <row r="46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11"/>
      <c r="O46" s="206"/>
    </row>
    <row r="47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11"/>
      <c r="O47" s="206"/>
    </row>
    <row r="48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11"/>
      <c r="O48" s="206"/>
    </row>
    <row r="49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11"/>
      <c r="O49" s="206"/>
    </row>
    <row r="50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11"/>
      <c r="O50" s="20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0.75"/>
    <col customWidth="1" min="3" max="3" width="14.75"/>
    <col customWidth="1" min="4" max="4" width="119.38"/>
  </cols>
  <sheetData>
    <row r="1">
      <c r="A1" s="213" t="s">
        <v>1056</v>
      </c>
      <c r="B1" s="213" t="s">
        <v>1057</v>
      </c>
      <c r="C1" s="213" t="s">
        <v>1058</v>
      </c>
      <c r="D1" s="214" t="s">
        <v>1059</v>
      </c>
    </row>
    <row r="2">
      <c r="A2" s="8" t="s">
        <v>55</v>
      </c>
      <c r="B2" s="215">
        <v>7.0</v>
      </c>
      <c r="C2" s="12">
        <v>157000.0</v>
      </c>
      <c r="D2" s="216" t="s">
        <v>1060</v>
      </c>
    </row>
    <row r="3">
      <c r="A3" s="8" t="s">
        <v>17</v>
      </c>
      <c r="B3" s="217" t="s">
        <v>1061</v>
      </c>
      <c r="C3" s="218">
        <v>56000.0</v>
      </c>
      <c r="D3" s="219" t="s">
        <v>1062</v>
      </c>
    </row>
    <row r="4">
      <c r="A4" s="8" t="s">
        <v>51</v>
      </c>
      <c r="B4" s="217" t="s">
        <v>1063</v>
      </c>
      <c r="C4" s="218">
        <v>100000.0</v>
      </c>
      <c r="D4" s="219" t="s">
        <v>1064</v>
      </c>
    </row>
    <row r="5">
      <c r="A5" s="12" t="s">
        <v>12</v>
      </c>
      <c r="B5" s="10"/>
      <c r="C5" s="220"/>
      <c r="D5" s="221"/>
    </row>
    <row r="6">
      <c r="A6" s="12" t="s">
        <v>150</v>
      </c>
      <c r="B6" s="11"/>
      <c r="C6" s="17"/>
      <c r="D6" s="221"/>
    </row>
    <row r="7">
      <c r="A7" s="8"/>
      <c r="B7" s="11"/>
      <c r="C7" s="17"/>
      <c r="D7" s="221"/>
    </row>
    <row r="8">
      <c r="A8" s="8"/>
      <c r="B8" s="11"/>
      <c r="C8" s="17"/>
      <c r="D8" s="221"/>
    </row>
    <row r="9">
      <c r="A9" s="8"/>
      <c r="B9" s="11"/>
      <c r="C9" s="17"/>
      <c r="D9" s="221"/>
    </row>
    <row r="10">
      <c r="A10" s="8"/>
      <c r="B10" s="11"/>
      <c r="C10" s="17"/>
      <c r="D10" s="221"/>
    </row>
    <row r="11">
      <c r="A11" s="8"/>
      <c r="B11" s="11"/>
      <c r="C11" s="17"/>
      <c r="D11" s="221"/>
    </row>
    <row r="12">
      <c r="A12" s="12"/>
      <c r="B12" s="11"/>
      <c r="C12" s="17"/>
      <c r="D12" s="221"/>
    </row>
    <row r="13">
      <c r="A13" s="12"/>
      <c r="B13" s="8"/>
      <c r="C13" s="8"/>
      <c r="D13" s="222"/>
    </row>
    <row r="14">
      <c r="A14" s="8"/>
      <c r="B14" s="8"/>
      <c r="C14" s="8"/>
      <c r="D14" s="222"/>
    </row>
    <row r="15">
      <c r="A15" s="8"/>
      <c r="B15" s="8"/>
      <c r="C15" s="8"/>
      <c r="D15" s="22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0"/>
    <col customWidth="1" min="2" max="2" width="24.0"/>
  </cols>
  <sheetData>
    <row r="1">
      <c r="A1" s="223" t="s">
        <v>1</v>
      </c>
      <c r="B1" s="223" t="s">
        <v>1065</v>
      </c>
    </row>
    <row r="2">
      <c r="A2" s="224" t="s">
        <v>23</v>
      </c>
      <c r="B2" s="225" t="s">
        <v>24</v>
      </c>
    </row>
    <row r="3">
      <c r="A3" s="224" t="s">
        <v>23</v>
      </c>
      <c r="B3" s="225" t="s">
        <v>600</v>
      </c>
    </row>
    <row r="4">
      <c r="A4" s="224" t="s">
        <v>23</v>
      </c>
      <c r="B4" s="225" t="s">
        <v>112</v>
      </c>
    </row>
    <row r="5">
      <c r="A5" s="224" t="s">
        <v>23</v>
      </c>
      <c r="B5" s="225" t="s">
        <v>1033</v>
      </c>
    </row>
    <row r="6">
      <c r="A6" s="224" t="s">
        <v>23</v>
      </c>
      <c r="B6" s="224" t="s">
        <v>91</v>
      </c>
    </row>
    <row r="7">
      <c r="A7" s="224" t="s">
        <v>23</v>
      </c>
      <c r="B7" s="224" t="s">
        <v>685</v>
      </c>
    </row>
    <row r="8">
      <c r="A8" s="224" t="s">
        <v>23</v>
      </c>
      <c r="B8" s="225" t="s">
        <v>1041</v>
      </c>
    </row>
    <row r="9">
      <c r="A9" s="224" t="s">
        <v>20</v>
      </c>
      <c r="B9" s="225" t="s">
        <v>25</v>
      </c>
    </row>
    <row r="10">
      <c r="A10" s="224" t="s">
        <v>20</v>
      </c>
      <c r="B10" s="225" t="s">
        <v>31</v>
      </c>
    </row>
    <row r="11">
      <c r="A11" s="224" t="s">
        <v>20</v>
      </c>
      <c r="B11" s="225" t="s">
        <v>32</v>
      </c>
    </row>
    <row r="12">
      <c r="A12" s="224" t="s">
        <v>20</v>
      </c>
      <c r="B12" s="225" t="s">
        <v>35</v>
      </c>
    </row>
    <row r="13">
      <c r="A13" s="224" t="s">
        <v>20</v>
      </c>
      <c r="B13" s="225" t="s">
        <v>305</v>
      </c>
    </row>
    <row r="14">
      <c r="A14" s="224" t="s">
        <v>20</v>
      </c>
      <c r="B14" s="91" t="s">
        <v>138</v>
      </c>
    </row>
    <row r="15">
      <c r="A15" s="224" t="s">
        <v>15</v>
      </c>
      <c r="B15" s="226" t="s">
        <v>144</v>
      </c>
    </row>
    <row r="16">
      <c r="A16" s="224" t="s">
        <v>15</v>
      </c>
      <c r="B16" s="224" t="s">
        <v>75</v>
      </c>
    </row>
    <row r="17">
      <c r="A17" s="224" t="s">
        <v>42</v>
      </c>
      <c r="B17" s="225" t="s">
        <v>43</v>
      </c>
    </row>
    <row r="18">
      <c r="A18" s="224" t="s">
        <v>42</v>
      </c>
      <c r="B18" s="225" t="s">
        <v>46</v>
      </c>
    </row>
    <row r="19">
      <c r="A19" s="224" t="s">
        <v>42</v>
      </c>
      <c r="B19" s="225" t="s">
        <v>1039</v>
      </c>
    </row>
    <row r="20">
      <c r="A20" s="224" t="s">
        <v>42</v>
      </c>
      <c r="B20" s="225" t="s">
        <v>94</v>
      </c>
    </row>
    <row r="21">
      <c r="A21" s="224" t="s">
        <v>42</v>
      </c>
      <c r="B21" s="224" t="s">
        <v>96</v>
      </c>
    </row>
    <row r="22">
      <c r="A22" s="224" t="s">
        <v>42</v>
      </c>
      <c r="B22" s="224" t="s">
        <v>157</v>
      </c>
    </row>
    <row r="23">
      <c r="A23" s="224" t="s">
        <v>172</v>
      </c>
      <c r="B23" s="224" t="s">
        <v>1031</v>
      </c>
    </row>
    <row r="24">
      <c r="A24" s="224" t="s">
        <v>172</v>
      </c>
      <c r="B24" s="224" t="s">
        <v>577</v>
      </c>
    </row>
    <row r="25">
      <c r="A25" s="224" t="s">
        <v>172</v>
      </c>
      <c r="B25" s="224" t="s">
        <v>173</v>
      </c>
    </row>
    <row r="26">
      <c r="A26" s="224" t="s">
        <v>172</v>
      </c>
      <c r="B26" s="224" t="s">
        <v>1044</v>
      </c>
    </row>
    <row r="27">
      <c r="A27" s="224" t="s">
        <v>27</v>
      </c>
      <c r="B27" s="224" t="s">
        <v>28</v>
      </c>
    </row>
    <row r="28">
      <c r="A28" s="224" t="s">
        <v>27</v>
      </c>
      <c r="B28" s="224" t="s">
        <v>116</v>
      </c>
    </row>
    <row r="29">
      <c r="A29" s="224" t="s">
        <v>27</v>
      </c>
      <c r="B29" s="224" t="s">
        <v>154</v>
      </c>
    </row>
    <row r="30">
      <c r="A30" s="224" t="s">
        <v>27</v>
      </c>
      <c r="B30" s="224" t="s">
        <v>124</v>
      </c>
    </row>
    <row r="31">
      <c r="A31" s="224" t="s">
        <v>10</v>
      </c>
      <c r="B31" s="224" t="s">
        <v>11</v>
      </c>
    </row>
    <row r="32">
      <c r="A32" s="224" t="s">
        <v>10</v>
      </c>
      <c r="B32" s="224" t="s">
        <v>1035</v>
      </c>
    </row>
    <row r="33">
      <c r="A33" s="224" t="s">
        <v>10</v>
      </c>
      <c r="B33" s="224" t="s">
        <v>13</v>
      </c>
    </row>
    <row r="34">
      <c r="A34" s="224" t="s">
        <v>10</v>
      </c>
      <c r="B34" s="224" t="s">
        <v>99</v>
      </c>
    </row>
    <row r="35">
      <c r="A35" s="224" t="s">
        <v>62</v>
      </c>
      <c r="B35" s="224" t="s">
        <v>1066</v>
      </c>
    </row>
    <row r="36">
      <c r="A36" s="224" t="s">
        <v>62</v>
      </c>
      <c r="B36" s="224" t="s">
        <v>83</v>
      </c>
    </row>
    <row r="37">
      <c r="A37" s="224" t="s">
        <v>62</v>
      </c>
      <c r="B37" s="225" t="s">
        <v>63</v>
      </c>
    </row>
    <row r="38">
      <c r="A38" s="224" t="s">
        <v>62</v>
      </c>
      <c r="B38" s="225" t="s">
        <v>140</v>
      </c>
    </row>
    <row r="39">
      <c r="A39" s="224" t="s">
        <v>62</v>
      </c>
      <c r="B39" s="225" t="s">
        <v>86</v>
      </c>
    </row>
    <row r="40">
      <c r="A40" s="224" t="s">
        <v>159</v>
      </c>
      <c r="B40" s="224" t="s">
        <v>161</v>
      </c>
    </row>
    <row r="41">
      <c r="A41" s="224" t="s">
        <v>159</v>
      </c>
      <c r="B41" s="224" t="s">
        <v>20</v>
      </c>
    </row>
    <row r="42">
      <c r="A42" s="224" t="s">
        <v>39</v>
      </c>
      <c r="B42" s="224" t="s">
        <v>40</v>
      </c>
    </row>
    <row r="43">
      <c r="A43" s="224" t="s">
        <v>39</v>
      </c>
      <c r="B43" s="224" t="s">
        <v>114</v>
      </c>
    </row>
    <row r="44">
      <c r="A44" s="224" t="s">
        <v>39</v>
      </c>
      <c r="B44" s="224" t="s">
        <v>532</v>
      </c>
    </row>
    <row r="45">
      <c r="A45" s="224" t="s">
        <v>39</v>
      </c>
      <c r="B45" s="224" t="s">
        <v>544</v>
      </c>
    </row>
    <row r="46">
      <c r="A46" s="224" t="s">
        <v>272</v>
      </c>
      <c r="B46" s="224" t="s">
        <v>273</v>
      </c>
    </row>
    <row r="47">
      <c r="A47" s="224" t="s">
        <v>272</v>
      </c>
      <c r="B47" s="224" t="s">
        <v>1036</v>
      </c>
    </row>
    <row r="48">
      <c r="A48" s="224" t="s">
        <v>272</v>
      </c>
      <c r="B48" s="224" t="s">
        <v>588</v>
      </c>
    </row>
    <row r="49">
      <c r="A49" s="224" t="s">
        <v>21</v>
      </c>
      <c r="B49" s="224" t="s">
        <v>471</v>
      </c>
    </row>
    <row r="50">
      <c r="A50" s="224" t="s">
        <v>21</v>
      </c>
      <c r="B50" s="224" t="s">
        <v>1037</v>
      </c>
    </row>
    <row r="51">
      <c r="A51" s="224" t="s">
        <v>21</v>
      </c>
      <c r="B51" s="224" t="s">
        <v>103</v>
      </c>
    </row>
    <row r="52">
      <c r="A52" s="224" t="s">
        <v>21</v>
      </c>
      <c r="B52" s="224" t="s">
        <v>179</v>
      </c>
    </row>
    <row r="53">
      <c r="A53" s="227" t="s">
        <v>21</v>
      </c>
      <c r="B53" s="224" t="s">
        <v>101</v>
      </c>
    </row>
    <row r="54">
      <c r="A54" s="228" t="s">
        <v>159</v>
      </c>
      <c r="B54" s="228" t="s">
        <v>169</v>
      </c>
    </row>
    <row r="55">
      <c r="A55" s="227" t="s">
        <v>21</v>
      </c>
      <c r="B55" s="227" t="s">
        <v>56</v>
      </c>
    </row>
    <row r="56">
      <c r="A56" s="229" t="s">
        <v>21</v>
      </c>
      <c r="B56" s="230" t="s">
        <v>65</v>
      </c>
    </row>
    <row r="57">
      <c r="A57" s="229" t="s">
        <v>21</v>
      </c>
      <c r="B57" s="229" t="s">
        <v>249</v>
      </c>
    </row>
    <row r="58">
      <c r="A58" s="229" t="s">
        <v>21</v>
      </c>
      <c r="B58" s="229" t="s">
        <v>16</v>
      </c>
    </row>
    <row r="59">
      <c r="A59" s="229" t="s">
        <v>21</v>
      </c>
      <c r="B59" s="229" t="s">
        <v>21</v>
      </c>
    </row>
    <row r="60">
      <c r="A60" s="230" t="s">
        <v>27</v>
      </c>
      <c r="B60" s="230" t="s">
        <v>336</v>
      </c>
    </row>
    <row r="61">
      <c r="A61" s="230" t="s">
        <v>39</v>
      </c>
      <c r="B61" s="230"/>
    </row>
    <row r="62">
      <c r="A62" s="230" t="s">
        <v>58</v>
      </c>
      <c r="B62" s="230" t="s">
        <v>58</v>
      </c>
    </row>
    <row r="63">
      <c r="A63" s="231"/>
      <c r="B63" s="231"/>
    </row>
    <row r="64">
      <c r="A64" s="231"/>
      <c r="B64" s="231"/>
    </row>
    <row r="65">
      <c r="A65" s="231"/>
      <c r="B65" s="231"/>
    </row>
    <row r="66">
      <c r="A66" s="231"/>
      <c r="B66" s="231"/>
    </row>
    <row r="67">
      <c r="A67" s="231"/>
      <c r="B67" s="231"/>
    </row>
    <row r="68">
      <c r="A68" s="231"/>
      <c r="B68" s="231"/>
    </row>
    <row r="69">
      <c r="A69" s="231"/>
      <c r="B69" s="231"/>
    </row>
    <row r="70">
      <c r="A70" s="231"/>
      <c r="B70" s="231"/>
    </row>
    <row r="71">
      <c r="A71" s="231"/>
      <c r="B71" s="231"/>
    </row>
    <row r="72">
      <c r="A72" s="231"/>
      <c r="B72" s="231"/>
    </row>
    <row r="73">
      <c r="A73" s="231"/>
      <c r="B73" s="231"/>
    </row>
    <row r="74">
      <c r="A74" s="231"/>
      <c r="B74" s="231"/>
    </row>
    <row r="75">
      <c r="A75" s="231"/>
      <c r="B75" s="231"/>
    </row>
    <row r="76">
      <c r="A76" s="231"/>
      <c r="B76" s="231"/>
    </row>
    <row r="77">
      <c r="A77" s="231"/>
      <c r="B77" s="231"/>
    </row>
    <row r="78">
      <c r="A78" s="231"/>
      <c r="B78" s="231"/>
    </row>
    <row r="79">
      <c r="A79" s="231"/>
      <c r="B79" s="231"/>
    </row>
    <row r="80">
      <c r="A80" s="231"/>
      <c r="B80" s="231"/>
    </row>
    <row r="81">
      <c r="A81" s="231"/>
      <c r="B81" s="231"/>
    </row>
    <row r="82">
      <c r="A82" s="231"/>
      <c r="B82" s="231"/>
    </row>
    <row r="83">
      <c r="A83" s="231"/>
      <c r="B83" s="231"/>
    </row>
    <row r="84">
      <c r="A84" s="231"/>
      <c r="B84" s="231"/>
    </row>
    <row r="85">
      <c r="A85" s="231"/>
      <c r="B85" s="231"/>
    </row>
    <row r="86">
      <c r="A86" s="231"/>
      <c r="B86" s="231"/>
    </row>
    <row r="87">
      <c r="A87" s="231"/>
      <c r="B87" s="231"/>
    </row>
    <row r="88">
      <c r="A88" s="231"/>
      <c r="B88" s="231"/>
    </row>
    <row r="89">
      <c r="A89" s="231"/>
      <c r="B89" s="231"/>
    </row>
    <row r="90">
      <c r="A90" s="231"/>
      <c r="B90" s="231"/>
    </row>
    <row r="91">
      <c r="A91" s="231"/>
      <c r="B91" s="231"/>
    </row>
    <row r="92">
      <c r="A92" s="231"/>
      <c r="B92" s="231"/>
    </row>
    <row r="93">
      <c r="A93" s="231"/>
      <c r="B93" s="231"/>
    </row>
    <row r="94">
      <c r="A94" s="231"/>
      <c r="B94" s="231"/>
    </row>
    <row r="95">
      <c r="A95" s="231"/>
      <c r="B95" s="231"/>
    </row>
    <row r="96">
      <c r="A96" s="231"/>
      <c r="B96" s="231"/>
    </row>
    <row r="97">
      <c r="A97" s="231"/>
      <c r="B97" s="231"/>
    </row>
    <row r="98">
      <c r="A98" s="231"/>
      <c r="B98" s="231"/>
    </row>
    <row r="99">
      <c r="A99" s="231"/>
      <c r="B99" s="231"/>
    </row>
    <row r="100">
      <c r="A100" s="231"/>
      <c r="B100" s="231"/>
    </row>
    <row r="101">
      <c r="A101" s="231"/>
      <c r="B101" s="231"/>
    </row>
    <row r="102">
      <c r="A102" s="231"/>
      <c r="B102" s="231"/>
    </row>
    <row r="103">
      <c r="A103" s="231"/>
      <c r="B103" s="231"/>
    </row>
    <row r="104">
      <c r="A104" s="231"/>
      <c r="B104" s="231"/>
    </row>
    <row r="105">
      <c r="A105" s="231"/>
      <c r="B105" s="231"/>
    </row>
    <row r="106">
      <c r="A106" s="231"/>
      <c r="B106" s="231"/>
    </row>
    <row r="107">
      <c r="A107" s="231"/>
      <c r="B107" s="231"/>
    </row>
    <row r="108">
      <c r="A108" s="231"/>
      <c r="B108" s="231"/>
    </row>
    <row r="109">
      <c r="A109" s="231"/>
      <c r="B109" s="231"/>
    </row>
    <row r="110">
      <c r="A110" s="231"/>
      <c r="B110" s="231"/>
    </row>
    <row r="111">
      <c r="A111" s="231"/>
      <c r="B111" s="231"/>
    </row>
    <row r="112">
      <c r="A112" s="231"/>
      <c r="B112" s="231"/>
    </row>
    <row r="113">
      <c r="A113" s="231"/>
      <c r="B113" s="231"/>
    </row>
    <row r="114">
      <c r="A114" s="231"/>
      <c r="B114" s="231"/>
    </row>
    <row r="115">
      <c r="A115" s="231"/>
      <c r="B115" s="231"/>
    </row>
    <row r="116">
      <c r="A116" s="231"/>
      <c r="B116" s="231"/>
    </row>
    <row r="117">
      <c r="A117" s="231"/>
      <c r="B117" s="231"/>
    </row>
    <row r="118">
      <c r="A118" s="231"/>
      <c r="B118" s="231"/>
    </row>
    <row r="119">
      <c r="A119" s="231"/>
      <c r="B119" s="231"/>
    </row>
    <row r="120">
      <c r="A120" s="231"/>
      <c r="B120" s="231"/>
    </row>
    <row r="121">
      <c r="A121" s="231"/>
      <c r="B121" s="231"/>
    </row>
    <row r="122">
      <c r="A122" s="231"/>
      <c r="B122" s="231"/>
    </row>
    <row r="123">
      <c r="A123" s="231"/>
      <c r="B123" s="231"/>
    </row>
    <row r="124">
      <c r="A124" s="231"/>
      <c r="B124" s="231"/>
    </row>
    <row r="125">
      <c r="A125" s="231"/>
      <c r="B125" s="231"/>
    </row>
    <row r="126">
      <c r="A126" s="231"/>
      <c r="B126" s="231"/>
    </row>
    <row r="127">
      <c r="A127" s="231"/>
      <c r="B127" s="231"/>
    </row>
    <row r="128">
      <c r="A128" s="231"/>
      <c r="B128" s="231"/>
    </row>
    <row r="129">
      <c r="A129" s="231"/>
      <c r="B129" s="231"/>
    </row>
    <row r="130">
      <c r="A130" s="231"/>
      <c r="B130" s="231"/>
    </row>
    <row r="131">
      <c r="A131" s="231"/>
      <c r="B131" s="231"/>
    </row>
    <row r="132">
      <c r="A132" s="231"/>
      <c r="B132" s="231"/>
    </row>
    <row r="133">
      <c r="A133" s="231"/>
      <c r="B133" s="231"/>
    </row>
    <row r="134">
      <c r="A134" s="231"/>
      <c r="B134" s="231"/>
    </row>
    <row r="135">
      <c r="A135" s="231"/>
      <c r="B135" s="231"/>
    </row>
    <row r="136">
      <c r="A136" s="231"/>
      <c r="B136" s="231"/>
    </row>
    <row r="137">
      <c r="A137" s="231"/>
      <c r="B137" s="231"/>
    </row>
    <row r="138">
      <c r="A138" s="231"/>
      <c r="B138" s="231"/>
    </row>
    <row r="139">
      <c r="A139" s="231"/>
      <c r="B139" s="231"/>
    </row>
    <row r="140">
      <c r="A140" s="231"/>
      <c r="B140" s="231"/>
    </row>
    <row r="141">
      <c r="A141" s="231"/>
      <c r="B141" s="231"/>
    </row>
    <row r="142">
      <c r="A142" s="231"/>
      <c r="B142" s="231"/>
    </row>
    <row r="143">
      <c r="A143" s="231"/>
      <c r="B143" s="231"/>
    </row>
    <row r="144">
      <c r="A144" s="231"/>
      <c r="B144" s="231"/>
    </row>
    <row r="145">
      <c r="A145" s="231"/>
      <c r="B145" s="231"/>
    </row>
    <row r="146">
      <c r="A146" s="231"/>
      <c r="B146" s="231"/>
    </row>
    <row r="147">
      <c r="A147" s="231"/>
      <c r="B147" s="231"/>
    </row>
    <row r="148">
      <c r="A148" s="231"/>
      <c r="B148" s="231"/>
    </row>
    <row r="149">
      <c r="A149" s="231"/>
      <c r="B149" s="231"/>
    </row>
    <row r="150">
      <c r="A150" s="231"/>
      <c r="B150" s="231"/>
    </row>
    <row r="151">
      <c r="A151" s="231"/>
      <c r="B151" s="231"/>
    </row>
    <row r="152">
      <c r="A152" s="231"/>
      <c r="B152" s="231"/>
    </row>
    <row r="153">
      <c r="A153" s="231"/>
      <c r="B153" s="231"/>
    </row>
    <row r="154">
      <c r="A154" s="231"/>
      <c r="B154" s="231"/>
    </row>
    <row r="155">
      <c r="A155" s="231"/>
      <c r="B155" s="231"/>
    </row>
    <row r="156">
      <c r="A156" s="231"/>
      <c r="B156" s="231"/>
    </row>
    <row r="157">
      <c r="A157" s="231"/>
      <c r="B157" s="231"/>
    </row>
    <row r="158">
      <c r="A158" s="231"/>
      <c r="B158" s="231"/>
    </row>
    <row r="159">
      <c r="A159" s="231"/>
      <c r="B159" s="231"/>
    </row>
    <row r="160">
      <c r="A160" s="231"/>
      <c r="B160" s="231"/>
    </row>
    <row r="161">
      <c r="A161" s="231"/>
      <c r="B161" s="231"/>
    </row>
    <row r="162">
      <c r="A162" s="231"/>
      <c r="B162" s="231"/>
    </row>
    <row r="163">
      <c r="A163" s="231"/>
      <c r="B163" s="231"/>
    </row>
    <row r="164">
      <c r="A164" s="231"/>
      <c r="B164" s="231"/>
    </row>
    <row r="165">
      <c r="A165" s="231"/>
      <c r="B165" s="231"/>
    </row>
    <row r="166">
      <c r="A166" s="231"/>
      <c r="B166" s="231"/>
    </row>
    <row r="167">
      <c r="A167" s="231"/>
      <c r="B167" s="231"/>
    </row>
    <row r="168">
      <c r="A168" s="231"/>
      <c r="B168" s="231"/>
    </row>
    <row r="169">
      <c r="A169" s="231"/>
      <c r="B169" s="231"/>
    </row>
    <row r="170">
      <c r="A170" s="231"/>
      <c r="B170" s="231"/>
    </row>
    <row r="171">
      <c r="A171" s="231"/>
      <c r="B171" s="231"/>
    </row>
    <row r="172">
      <c r="A172" s="231"/>
      <c r="B172" s="231"/>
    </row>
    <row r="173">
      <c r="A173" s="231"/>
      <c r="B173" s="231"/>
    </row>
    <row r="174">
      <c r="A174" s="231"/>
      <c r="B174" s="231"/>
    </row>
    <row r="175">
      <c r="A175" s="231"/>
      <c r="B175" s="231"/>
    </row>
    <row r="176">
      <c r="A176" s="231"/>
      <c r="B176" s="231"/>
    </row>
    <row r="177">
      <c r="A177" s="231"/>
      <c r="B177" s="231"/>
    </row>
    <row r="178">
      <c r="A178" s="231"/>
      <c r="B178" s="231"/>
    </row>
    <row r="179">
      <c r="A179" s="231"/>
      <c r="B179" s="231"/>
    </row>
    <row r="180">
      <c r="A180" s="231"/>
      <c r="B180" s="231"/>
    </row>
    <row r="181">
      <c r="A181" s="231"/>
      <c r="B181" s="231"/>
    </row>
    <row r="182">
      <c r="A182" s="231"/>
      <c r="B182" s="231"/>
    </row>
    <row r="183">
      <c r="A183" s="231"/>
      <c r="B183" s="231"/>
    </row>
    <row r="184">
      <c r="A184" s="231"/>
      <c r="B184" s="231"/>
    </row>
    <row r="185">
      <c r="A185" s="231"/>
      <c r="B185" s="231"/>
    </row>
    <row r="186">
      <c r="A186" s="231"/>
      <c r="B186" s="231"/>
    </row>
    <row r="187">
      <c r="A187" s="231"/>
      <c r="B187" s="231"/>
    </row>
    <row r="188">
      <c r="A188" s="231"/>
      <c r="B188" s="231"/>
    </row>
    <row r="189">
      <c r="A189" s="231"/>
      <c r="B189" s="231"/>
    </row>
    <row r="190">
      <c r="A190" s="231"/>
      <c r="B190" s="231"/>
    </row>
    <row r="191">
      <c r="A191" s="231"/>
      <c r="B191" s="231"/>
    </row>
    <row r="192">
      <c r="A192" s="231"/>
      <c r="B192" s="231"/>
    </row>
    <row r="193">
      <c r="A193" s="231"/>
      <c r="B193" s="231"/>
    </row>
    <row r="194">
      <c r="A194" s="231"/>
      <c r="B194" s="231"/>
    </row>
    <row r="195">
      <c r="A195" s="231"/>
      <c r="B195" s="231"/>
    </row>
    <row r="196">
      <c r="A196" s="231"/>
      <c r="B196" s="231"/>
    </row>
    <row r="197">
      <c r="A197" s="231"/>
      <c r="B197" s="231"/>
    </row>
    <row r="198">
      <c r="A198" s="231"/>
      <c r="B198" s="231"/>
    </row>
    <row r="199">
      <c r="A199" s="231"/>
      <c r="B199" s="231"/>
    </row>
    <row r="200">
      <c r="A200" s="231"/>
      <c r="B200" s="231"/>
    </row>
    <row r="201">
      <c r="A201" s="231"/>
      <c r="B201" s="231"/>
    </row>
    <row r="202">
      <c r="A202" s="231"/>
      <c r="B202" s="231"/>
    </row>
    <row r="203">
      <c r="A203" s="231"/>
      <c r="B203" s="231"/>
    </row>
    <row r="204">
      <c r="A204" s="231"/>
      <c r="B204" s="231"/>
    </row>
    <row r="205">
      <c r="A205" s="231"/>
      <c r="B205" s="231"/>
    </row>
    <row r="206">
      <c r="A206" s="231"/>
      <c r="B206" s="231"/>
    </row>
    <row r="207">
      <c r="A207" s="231"/>
      <c r="B207" s="231"/>
    </row>
    <row r="208">
      <c r="A208" s="231"/>
      <c r="B208" s="231"/>
    </row>
    <row r="209">
      <c r="A209" s="231"/>
      <c r="B209" s="231"/>
    </row>
    <row r="210">
      <c r="A210" s="231"/>
      <c r="B210" s="231"/>
    </row>
    <row r="211">
      <c r="A211" s="231"/>
      <c r="B211" s="231"/>
    </row>
    <row r="212">
      <c r="A212" s="231"/>
      <c r="B212" s="231"/>
    </row>
    <row r="213">
      <c r="A213" s="231"/>
      <c r="B213" s="231"/>
    </row>
    <row r="214">
      <c r="A214" s="231"/>
      <c r="B214" s="231"/>
    </row>
    <row r="215">
      <c r="A215" s="231"/>
      <c r="B215" s="231"/>
    </row>
    <row r="216">
      <c r="A216" s="231"/>
      <c r="B216" s="231"/>
    </row>
    <row r="217">
      <c r="A217" s="231"/>
      <c r="B217" s="231"/>
    </row>
    <row r="218">
      <c r="A218" s="231"/>
      <c r="B218" s="231"/>
    </row>
    <row r="219">
      <c r="A219" s="231"/>
      <c r="B219" s="231"/>
    </row>
    <row r="220">
      <c r="A220" s="231"/>
      <c r="B220" s="231"/>
    </row>
    <row r="221">
      <c r="A221" s="231"/>
      <c r="B221" s="231"/>
    </row>
    <row r="222">
      <c r="A222" s="231"/>
      <c r="B222" s="231"/>
    </row>
    <row r="223">
      <c r="A223" s="231"/>
      <c r="B223" s="231"/>
    </row>
    <row r="224">
      <c r="A224" s="231"/>
      <c r="B224" s="231"/>
    </row>
    <row r="225">
      <c r="A225" s="231"/>
      <c r="B225" s="231"/>
    </row>
    <row r="226">
      <c r="A226" s="231"/>
      <c r="B226" s="231"/>
    </row>
    <row r="227">
      <c r="A227" s="231"/>
      <c r="B227" s="231"/>
    </row>
    <row r="228">
      <c r="A228" s="231"/>
      <c r="B228" s="231"/>
    </row>
    <row r="229">
      <c r="A229" s="231"/>
      <c r="B229" s="231"/>
    </row>
    <row r="230">
      <c r="A230" s="231"/>
      <c r="B230" s="231"/>
    </row>
    <row r="231">
      <c r="A231" s="231"/>
      <c r="B231" s="231"/>
    </row>
    <row r="232">
      <c r="A232" s="231"/>
      <c r="B232" s="231"/>
    </row>
    <row r="233">
      <c r="A233" s="231"/>
      <c r="B233" s="231"/>
    </row>
    <row r="234">
      <c r="A234" s="231"/>
      <c r="B234" s="231"/>
    </row>
    <row r="235">
      <c r="A235" s="231"/>
      <c r="B235" s="231"/>
    </row>
    <row r="236">
      <c r="A236" s="231"/>
      <c r="B236" s="231"/>
    </row>
    <row r="237">
      <c r="A237" s="231"/>
      <c r="B237" s="231"/>
    </row>
    <row r="238">
      <c r="A238" s="231"/>
      <c r="B238" s="231"/>
    </row>
    <row r="239">
      <c r="A239" s="231"/>
      <c r="B239" s="231"/>
    </row>
    <row r="240">
      <c r="A240" s="231"/>
      <c r="B240" s="231"/>
    </row>
    <row r="241">
      <c r="A241" s="231"/>
      <c r="B241" s="231"/>
    </row>
    <row r="242">
      <c r="A242" s="231"/>
      <c r="B242" s="231"/>
    </row>
    <row r="243">
      <c r="A243" s="231"/>
      <c r="B243" s="231"/>
    </row>
    <row r="244">
      <c r="A244" s="231"/>
      <c r="B244" s="231"/>
    </row>
    <row r="245">
      <c r="A245" s="231"/>
      <c r="B245" s="231"/>
    </row>
    <row r="246">
      <c r="A246" s="231"/>
      <c r="B246" s="231"/>
    </row>
    <row r="247">
      <c r="A247" s="231"/>
      <c r="B247" s="231"/>
    </row>
    <row r="248">
      <c r="A248" s="231"/>
      <c r="B248" s="231"/>
    </row>
    <row r="249">
      <c r="A249" s="231"/>
      <c r="B249" s="231"/>
    </row>
    <row r="250">
      <c r="A250" s="231"/>
      <c r="B250" s="231"/>
    </row>
    <row r="251">
      <c r="A251" s="231"/>
      <c r="B251" s="231"/>
    </row>
    <row r="252">
      <c r="A252" s="231"/>
      <c r="B252" s="231"/>
    </row>
    <row r="253">
      <c r="A253" s="231"/>
      <c r="B253" s="231"/>
    </row>
    <row r="254">
      <c r="A254" s="231"/>
      <c r="B254" s="231"/>
    </row>
    <row r="255">
      <c r="A255" s="231"/>
      <c r="B255" s="231"/>
    </row>
    <row r="256">
      <c r="A256" s="231"/>
      <c r="B256" s="231"/>
    </row>
    <row r="257">
      <c r="A257" s="231"/>
      <c r="B257" s="231"/>
    </row>
    <row r="258">
      <c r="A258" s="231"/>
      <c r="B258" s="231"/>
    </row>
    <row r="259">
      <c r="A259" s="231"/>
      <c r="B259" s="231"/>
    </row>
    <row r="260">
      <c r="A260" s="231"/>
      <c r="B260" s="231"/>
    </row>
    <row r="261">
      <c r="A261" s="231"/>
      <c r="B261" s="231"/>
    </row>
    <row r="262">
      <c r="A262" s="231"/>
      <c r="B262" s="231"/>
    </row>
    <row r="263">
      <c r="A263" s="231"/>
      <c r="B263" s="231"/>
    </row>
    <row r="264">
      <c r="A264" s="231"/>
      <c r="B264" s="231"/>
    </row>
    <row r="265">
      <c r="A265" s="231"/>
      <c r="B265" s="231"/>
    </row>
    <row r="266">
      <c r="A266" s="231"/>
      <c r="B266" s="231"/>
    </row>
    <row r="267">
      <c r="A267" s="231"/>
      <c r="B267" s="231"/>
    </row>
    <row r="268">
      <c r="A268" s="231"/>
      <c r="B268" s="231"/>
    </row>
    <row r="269">
      <c r="A269" s="231"/>
      <c r="B269" s="231"/>
    </row>
    <row r="270">
      <c r="A270" s="231"/>
      <c r="B270" s="231"/>
    </row>
    <row r="271">
      <c r="A271" s="231"/>
      <c r="B271" s="231"/>
    </row>
    <row r="272">
      <c r="A272" s="231"/>
      <c r="B272" s="231"/>
    </row>
    <row r="273">
      <c r="A273" s="231"/>
      <c r="B273" s="231"/>
    </row>
    <row r="274">
      <c r="A274" s="231"/>
      <c r="B274" s="231"/>
    </row>
    <row r="275">
      <c r="A275" s="231"/>
      <c r="B275" s="231"/>
    </row>
    <row r="276">
      <c r="A276" s="231"/>
      <c r="B276" s="231"/>
    </row>
    <row r="277">
      <c r="A277" s="231"/>
      <c r="B277" s="231"/>
    </row>
    <row r="278">
      <c r="A278" s="231"/>
      <c r="B278" s="231"/>
    </row>
    <row r="279">
      <c r="A279" s="231"/>
      <c r="B279" s="231"/>
    </row>
    <row r="280">
      <c r="A280" s="231"/>
      <c r="B280" s="231"/>
    </row>
    <row r="281">
      <c r="A281" s="231"/>
      <c r="B281" s="231"/>
    </row>
    <row r="282">
      <c r="A282" s="231"/>
      <c r="B282" s="231"/>
    </row>
    <row r="283">
      <c r="A283" s="231"/>
      <c r="B283" s="231"/>
    </row>
    <row r="284">
      <c r="A284" s="231"/>
      <c r="B284" s="231"/>
    </row>
    <row r="285">
      <c r="A285" s="231"/>
      <c r="B285" s="231"/>
    </row>
    <row r="286">
      <c r="A286" s="231"/>
      <c r="B286" s="231"/>
    </row>
    <row r="287">
      <c r="A287" s="231"/>
      <c r="B287" s="231"/>
    </row>
    <row r="288">
      <c r="A288" s="231"/>
      <c r="B288" s="231"/>
    </row>
    <row r="289">
      <c r="A289" s="231"/>
      <c r="B289" s="231"/>
    </row>
    <row r="290">
      <c r="A290" s="231"/>
      <c r="B290" s="231"/>
    </row>
    <row r="291">
      <c r="A291" s="231"/>
      <c r="B291" s="231"/>
    </row>
    <row r="292">
      <c r="A292" s="231"/>
      <c r="B292" s="231"/>
    </row>
    <row r="293">
      <c r="A293" s="231"/>
      <c r="B293" s="231"/>
    </row>
    <row r="294">
      <c r="A294" s="231"/>
      <c r="B294" s="231"/>
    </row>
    <row r="295">
      <c r="A295" s="231"/>
      <c r="B295" s="231"/>
    </row>
    <row r="296">
      <c r="A296" s="231"/>
      <c r="B296" s="231"/>
    </row>
    <row r="297">
      <c r="A297" s="231"/>
      <c r="B297" s="231"/>
    </row>
    <row r="298">
      <c r="A298" s="231"/>
      <c r="B298" s="231"/>
    </row>
    <row r="299">
      <c r="A299" s="231"/>
      <c r="B299" s="231"/>
    </row>
    <row r="300">
      <c r="A300" s="231"/>
      <c r="B300" s="231"/>
    </row>
    <row r="301">
      <c r="A301" s="231"/>
      <c r="B301" s="231"/>
    </row>
    <row r="302">
      <c r="A302" s="231"/>
      <c r="B302" s="231"/>
    </row>
    <row r="303">
      <c r="A303" s="231"/>
      <c r="B303" s="231"/>
    </row>
    <row r="304">
      <c r="A304" s="231"/>
      <c r="B304" s="231"/>
    </row>
    <row r="305">
      <c r="A305" s="231"/>
      <c r="B305" s="231"/>
    </row>
    <row r="306">
      <c r="A306" s="231"/>
      <c r="B306" s="231"/>
    </row>
    <row r="307">
      <c r="A307" s="231"/>
      <c r="B307" s="231"/>
    </row>
    <row r="308">
      <c r="A308" s="231"/>
      <c r="B308" s="231"/>
    </row>
    <row r="309">
      <c r="A309" s="231"/>
      <c r="B309" s="231"/>
    </row>
    <row r="310">
      <c r="A310" s="231"/>
      <c r="B310" s="231"/>
    </row>
    <row r="311">
      <c r="A311" s="231"/>
      <c r="B311" s="231"/>
    </row>
    <row r="312">
      <c r="A312" s="231"/>
      <c r="B312" s="231"/>
    </row>
    <row r="313">
      <c r="A313" s="231"/>
      <c r="B313" s="231"/>
    </row>
    <row r="314">
      <c r="A314" s="231"/>
      <c r="B314" s="231"/>
    </row>
    <row r="315">
      <c r="A315" s="231"/>
      <c r="B315" s="231"/>
    </row>
    <row r="316">
      <c r="A316" s="231"/>
      <c r="B316" s="231"/>
    </row>
    <row r="317">
      <c r="A317" s="231"/>
      <c r="B317" s="231"/>
    </row>
    <row r="318">
      <c r="A318" s="231"/>
      <c r="B318" s="231"/>
    </row>
    <row r="319">
      <c r="A319" s="231"/>
      <c r="B319" s="231"/>
    </row>
    <row r="320">
      <c r="A320" s="231"/>
      <c r="B320" s="231"/>
    </row>
    <row r="321">
      <c r="A321" s="231"/>
      <c r="B321" s="231"/>
    </row>
    <row r="322">
      <c r="A322" s="231"/>
      <c r="B322" s="231"/>
    </row>
    <row r="323">
      <c r="A323" s="231"/>
      <c r="B323" s="231"/>
    </row>
    <row r="324">
      <c r="A324" s="231"/>
      <c r="B324" s="231"/>
    </row>
    <row r="325">
      <c r="A325" s="231"/>
      <c r="B325" s="231"/>
    </row>
    <row r="326">
      <c r="A326" s="231"/>
      <c r="B326" s="231"/>
    </row>
    <row r="327">
      <c r="A327" s="231"/>
      <c r="B327" s="231"/>
    </row>
    <row r="328">
      <c r="A328" s="231"/>
      <c r="B328" s="231"/>
    </row>
    <row r="329">
      <c r="A329" s="231"/>
      <c r="B329" s="231"/>
    </row>
    <row r="330">
      <c r="A330" s="231"/>
      <c r="B330" s="231"/>
    </row>
    <row r="331">
      <c r="A331" s="231"/>
      <c r="B331" s="231"/>
    </row>
    <row r="332">
      <c r="A332" s="231"/>
      <c r="B332" s="231"/>
    </row>
    <row r="333">
      <c r="A333" s="231"/>
      <c r="B333" s="231"/>
    </row>
    <row r="334">
      <c r="A334" s="231"/>
      <c r="B334" s="231"/>
    </row>
    <row r="335">
      <c r="A335" s="231"/>
      <c r="B335" s="231"/>
    </row>
    <row r="336">
      <c r="A336" s="231"/>
      <c r="B336" s="231"/>
    </row>
    <row r="337">
      <c r="A337" s="231"/>
      <c r="B337" s="231"/>
    </row>
    <row r="338">
      <c r="A338" s="231"/>
      <c r="B338" s="231"/>
    </row>
    <row r="339">
      <c r="A339" s="231"/>
      <c r="B339" s="231"/>
    </row>
    <row r="340">
      <c r="A340" s="231"/>
      <c r="B340" s="231"/>
    </row>
    <row r="341">
      <c r="A341" s="231"/>
      <c r="B341" s="231"/>
    </row>
    <row r="342">
      <c r="A342" s="231"/>
      <c r="B342" s="231"/>
    </row>
    <row r="343">
      <c r="A343" s="231"/>
      <c r="B343" s="231"/>
    </row>
    <row r="344">
      <c r="A344" s="231"/>
      <c r="B344" s="231"/>
    </row>
    <row r="345">
      <c r="A345" s="231"/>
      <c r="B345" s="231"/>
    </row>
    <row r="346">
      <c r="A346" s="231"/>
      <c r="B346" s="231"/>
    </row>
    <row r="347">
      <c r="A347" s="231"/>
      <c r="B347" s="231"/>
    </row>
    <row r="348">
      <c r="A348" s="231"/>
      <c r="B348" s="231"/>
    </row>
    <row r="349">
      <c r="A349" s="231"/>
      <c r="B349" s="231"/>
    </row>
    <row r="350">
      <c r="A350" s="231"/>
      <c r="B350" s="231"/>
    </row>
    <row r="351">
      <c r="A351" s="231"/>
      <c r="B351" s="231"/>
    </row>
    <row r="352">
      <c r="A352" s="231"/>
      <c r="B352" s="231"/>
    </row>
    <row r="353">
      <c r="A353" s="231"/>
      <c r="B353" s="231"/>
    </row>
    <row r="354">
      <c r="A354" s="231"/>
      <c r="B354" s="231"/>
    </row>
    <row r="355">
      <c r="A355" s="231"/>
      <c r="B355" s="231"/>
    </row>
    <row r="356">
      <c r="A356" s="231"/>
      <c r="B356" s="231"/>
    </row>
    <row r="357">
      <c r="A357" s="231"/>
      <c r="B357" s="231"/>
    </row>
    <row r="358">
      <c r="A358" s="231"/>
      <c r="B358" s="231"/>
    </row>
    <row r="359">
      <c r="A359" s="231"/>
      <c r="B359" s="231"/>
    </row>
    <row r="360">
      <c r="A360" s="231"/>
      <c r="B360" s="231"/>
    </row>
    <row r="361">
      <c r="A361" s="231"/>
      <c r="B361" s="231"/>
    </row>
    <row r="362">
      <c r="A362" s="231"/>
      <c r="B362" s="231"/>
    </row>
    <row r="363">
      <c r="A363" s="231"/>
      <c r="B363" s="231"/>
    </row>
    <row r="364">
      <c r="A364" s="231"/>
      <c r="B364" s="231"/>
    </row>
    <row r="365">
      <c r="A365" s="231"/>
      <c r="B365" s="231"/>
    </row>
    <row r="366">
      <c r="A366" s="231"/>
      <c r="B366" s="231"/>
    </row>
    <row r="367">
      <c r="A367" s="231"/>
      <c r="B367" s="231"/>
    </row>
    <row r="368">
      <c r="A368" s="231"/>
      <c r="B368" s="231"/>
    </row>
    <row r="369">
      <c r="A369" s="231"/>
      <c r="B369" s="231"/>
    </row>
    <row r="370">
      <c r="A370" s="231"/>
      <c r="B370" s="231"/>
    </row>
    <row r="371">
      <c r="A371" s="231"/>
      <c r="B371" s="231"/>
    </row>
    <row r="372">
      <c r="A372" s="231"/>
      <c r="B372" s="231"/>
    </row>
    <row r="373">
      <c r="A373" s="231"/>
      <c r="B373" s="231"/>
    </row>
    <row r="374">
      <c r="A374" s="231"/>
      <c r="B374" s="231"/>
    </row>
    <row r="375">
      <c r="A375" s="231"/>
      <c r="B375" s="231"/>
    </row>
    <row r="376">
      <c r="A376" s="231"/>
      <c r="B376" s="231"/>
    </row>
    <row r="377">
      <c r="A377" s="231"/>
      <c r="B377" s="231"/>
    </row>
    <row r="378">
      <c r="A378" s="231"/>
      <c r="B378" s="231"/>
    </row>
    <row r="379">
      <c r="A379" s="231"/>
      <c r="B379" s="231"/>
    </row>
    <row r="380">
      <c r="A380" s="231"/>
      <c r="B380" s="231"/>
    </row>
    <row r="381">
      <c r="A381" s="231"/>
      <c r="B381" s="231"/>
    </row>
    <row r="382">
      <c r="A382" s="231"/>
      <c r="B382" s="231"/>
    </row>
    <row r="383">
      <c r="A383" s="231"/>
      <c r="B383" s="231"/>
    </row>
    <row r="384">
      <c r="A384" s="231"/>
      <c r="B384" s="231"/>
    </row>
    <row r="385">
      <c r="A385" s="231"/>
      <c r="B385" s="231"/>
    </row>
    <row r="386">
      <c r="A386" s="231"/>
      <c r="B386" s="231"/>
    </row>
    <row r="387">
      <c r="A387" s="231"/>
      <c r="B387" s="231"/>
    </row>
    <row r="388">
      <c r="A388" s="231"/>
      <c r="B388" s="231"/>
    </row>
    <row r="389">
      <c r="A389" s="231"/>
      <c r="B389" s="231"/>
    </row>
    <row r="390">
      <c r="A390" s="231"/>
      <c r="B390" s="231"/>
    </row>
    <row r="391">
      <c r="A391" s="231"/>
      <c r="B391" s="231"/>
    </row>
    <row r="392">
      <c r="A392" s="231"/>
      <c r="B392" s="231"/>
    </row>
    <row r="393">
      <c r="A393" s="231"/>
      <c r="B393" s="231"/>
    </row>
    <row r="394">
      <c r="A394" s="231"/>
      <c r="B394" s="231"/>
    </row>
    <row r="395">
      <c r="A395" s="231"/>
      <c r="B395" s="231"/>
    </row>
    <row r="396">
      <c r="A396" s="231"/>
      <c r="B396" s="231"/>
    </row>
    <row r="397">
      <c r="A397" s="231"/>
      <c r="B397" s="231"/>
    </row>
    <row r="398">
      <c r="A398" s="231"/>
      <c r="B398" s="231"/>
    </row>
    <row r="399">
      <c r="A399" s="231"/>
      <c r="B399" s="231"/>
    </row>
    <row r="400">
      <c r="A400" s="231"/>
      <c r="B400" s="231"/>
    </row>
    <row r="401">
      <c r="A401" s="231"/>
      <c r="B401" s="231"/>
    </row>
    <row r="402">
      <c r="A402" s="231"/>
      <c r="B402" s="231"/>
    </row>
    <row r="403">
      <c r="A403" s="231"/>
      <c r="B403" s="231"/>
    </row>
    <row r="404">
      <c r="A404" s="231"/>
      <c r="B404" s="231"/>
    </row>
    <row r="405">
      <c r="A405" s="231"/>
      <c r="B405" s="231"/>
    </row>
    <row r="406">
      <c r="A406" s="231"/>
      <c r="B406" s="231"/>
    </row>
    <row r="407">
      <c r="A407" s="231"/>
      <c r="B407" s="231"/>
    </row>
    <row r="408">
      <c r="A408" s="231"/>
      <c r="B408" s="231"/>
    </row>
    <row r="409">
      <c r="A409" s="231"/>
      <c r="B409" s="231"/>
    </row>
    <row r="410">
      <c r="A410" s="231"/>
      <c r="B410" s="231"/>
    </row>
    <row r="411">
      <c r="A411" s="231"/>
      <c r="B411" s="231"/>
    </row>
    <row r="412">
      <c r="A412" s="231"/>
      <c r="B412" s="231"/>
    </row>
    <row r="413">
      <c r="A413" s="231"/>
      <c r="B413" s="231"/>
    </row>
    <row r="414">
      <c r="A414" s="231"/>
      <c r="B414" s="231"/>
    </row>
    <row r="415">
      <c r="A415" s="231"/>
      <c r="B415" s="231"/>
    </row>
    <row r="416">
      <c r="A416" s="231"/>
      <c r="B416" s="231"/>
    </row>
    <row r="417">
      <c r="A417" s="231"/>
      <c r="B417" s="231"/>
    </row>
    <row r="418">
      <c r="A418" s="231"/>
      <c r="B418" s="231"/>
    </row>
    <row r="419">
      <c r="A419" s="231"/>
      <c r="B419" s="231"/>
    </row>
    <row r="420">
      <c r="A420" s="231"/>
      <c r="B420" s="231"/>
    </row>
    <row r="421">
      <c r="A421" s="231"/>
      <c r="B421" s="231"/>
    </row>
    <row r="422">
      <c r="A422" s="231"/>
      <c r="B422" s="231"/>
    </row>
    <row r="423">
      <c r="A423" s="231"/>
      <c r="B423" s="231"/>
    </row>
    <row r="424">
      <c r="A424" s="231"/>
      <c r="B424" s="231"/>
    </row>
    <row r="425">
      <c r="A425" s="231"/>
      <c r="B425" s="231"/>
    </row>
    <row r="426">
      <c r="A426" s="231"/>
      <c r="B426" s="231"/>
    </row>
    <row r="427">
      <c r="A427" s="231"/>
      <c r="B427" s="231"/>
    </row>
    <row r="428">
      <c r="A428" s="231"/>
      <c r="B428" s="231"/>
    </row>
    <row r="429">
      <c r="A429" s="231"/>
      <c r="B429" s="231"/>
    </row>
    <row r="430">
      <c r="A430" s="231"/>
      <c r="B430" s="231"/>
    </row>
    <row r="431">
      <c r="A431" s="231"/>
      <c r="B431" s="231"/>
    </row>
    <row r="432">
      <c r="A432" s="231"/>
      <c r="B432" s="231"/>
    </row>
    <row r="433">
      <c r="A433" s="231"/>
      <c r="B433" s="231"/>
    </row>
    <row r="434">
      <c r="A434" s="231"/>
      <c r="B434" s="231"/>
    </row>
    <row r="435">
      <c r="A435" s="231"/>
      <c r="B435" s="231"/>
    </row>
    <row r="436">
      <c r="A436" s="231"/>
      <c r="B436" s="231"/>
    </row>
    <row r="437">
      <c r="A437" s="231"/>
      <c r="B437" s="231"/>
    </row>
    <row r="438">
      <c r="A438" s="231"/>
      <c r="B438" s="231"/>
    </row>
    <row r="439">
      <c r="A439" s="231"/>
      <c r="B439" s="231"/>
    </row>
    <row r="440">
      <c r="A440" s="231"/>
      <c r="B440" s="231"/>
    </row>
    <row r="441">
      <c r="A441" s="231"/>
      <c r="B441" s="231"/>
    </row>
    <row r="442">
      <c r="A442" s="231"/>
      <c r="B442" s="231"/>
    </row>
    <row r="443">
      <c r="A443" s="231"/>
      <c r="B443" s="231"/>
    </row>
    <row r="444">
      <c r="A444" s="231"/>
      <c r="B444" s="231"/>
    </row>
    <row r="445">
      <c r="A445" s="231"/>
      <c r="B445" s="231"/>
    </row>
    <row r="446">
      <c r="A446" s="231"/>
      <c r="B446" s="231"/>
    </row>
    <row r="447">
      <c r="A447" s="231"/>
      <c r="B447" s="231"/>
    </row>
    <row r="448">
      <c r="A448" s="231"/>
      <c r="B448" s="231"/>
    </row>
    <row r="449">
      <c r="A449" s="231"/>
      <c r="B449" s="231"/>
    </row>
    <row r="450">
      <c r="A450" s="231"/>
      <c r="B450" s="231"/>
    </row>
    <row r="451">
      <c r="A451" s="231"/>
      <c r="B451" s="231"/>
    </row>
    <row r="452">
      <c r="A452" s="231"/>
      <c r="B452" s="231"/>
    </row>
    <row r="453">
      <c r="A453" s="231"/>
      <c r="B453" s="231"/>
    </row>
    <row r="454">
      <c r="A454" s="231"/>
      <c r="B454" s="231"/>
    </row>
    <row r="455">
      <c r="A455" s="231"/>
      <c r="B455" s="231"/>
    </row>
    <row r="456">
      <c r="A456" s="231"/>
      <c r="B456" s="231"/>
    </row>
    <row r="457">
      <c r="A457" s="231"/>
      <c r="B457" s="231"/>
    </row>
    <row r="458">
      <c r="A458" s="231"/>
      <c r="B458" s="231"/>
    </row>
    <row r="459">
      <c r="A459" s="231"/>
      <c r="B459" s="231"/>
    </row>
    <row r="460">
      <c r="A460" s="231"/>
      <c r="B460" s="231"/>
    </row>
    <row r="461">
      <c r="A461" s="231"/>
      <c r="B461" s="231"/>
    </row>
    <row r="462">
      <c r="A462" s="231"/>
      <c r="B462" s="231"/>
    </row>
    <row r="463">
      <c r="A463" s="231"/>
      <c r="B463" s="231"/>
    </row>
    <row r="464">
      <c r="A464" s="231"/>
      <c r="B464" s="231"/>
    </row>
    <row r="465">
      <c r="A465" s="231"/>
      <c r="B465" s="231"/>
    </row>
    <row r="466">
      <c r="A466" s="231"/>
      <c r="B466" s="231"/>
    </row>
    <row r="467">
      <c r="A467" s="231"/>
      <c r="B467" s="231"/>
    </row>
    <row r="468">
      <c r="A468" s="231"/>
      <c r="B468" s="231"/>
    </row>
    <row r="469">
      <c r="A469" s="231"/>
      <c r="B469" s="231"/>
    </row>
    <row r="470">
      <c r="A470" s="231"/>
      <c r="B470" s="231"/>
    </row>
    <row r="471">
      <c r="A471" s="231"/>
      <c r="B471" s="231"/>
    </row>
    <row r="472">
      <c r="A472" s="231"/>
      <c r="B472" s="231"/>
    </row>
    <row r="473">
      <c r="A473" s="231"/>
      <c r="B473" s="231"/>
    </row>
    <row r="474">
      <c r="A474" s="231"/>
      <c r="B474" s="231"/>
    </row>
    <row r="475">
      <c r="A475" s="231"/>
      <c r="B475" s="231"/>
    </row>
    <row r="476">
      <c r="A476" s="231"/>
      <c r="B476" s="231"/>
    </row>
    <row r="477">
      <c r="A477" s="231"/>
      <c r="B477" s="231"/>
    </row>
    <row r="478">
      <c r="A478" s="231"/>
      <c r="B478" s="231"/>
    </row>
    <row r="479">
      <c r="A479" s="231"/>
      <c r="B479" s="231"/>
    </row>
    <row r="480">
      <c r="A480" s="231"/>
      <c r="B480" s="231"/>
    </row>
    <row r="481">
      <c r="A481" s="231"/>
      <c r="B481" s="231"/>
    </row>
    <row r="482">
      <c r="A482" s="231"/>
      <c r="B482" s="231"/>
    </row>
    <row r="483">
      <c r="A483" s="231"/>
      <c r="B483" s="231"/>
    </row>
    <row r="484">
      <c r="A484" s="231"/>
      <c r="B484" s="231"/>
    </row>
    <row r="485">
      <c r="A485" s="231"/>
      <c r="B485" s="231"/>
    </row>
    <row r="486">
      <c r="A486" s="231"/>
      <c r="B486" s="231"/>
    </row>
    <row r="487">
      <c r="A487" s="231"/>
      <c r="B487" s="231"/>
    </row>
    <row r="488">
      <c r="A488" s="231"/>
      <c r="B488" s="231"/>
    </row>
    <row r="489">
      <c r="A489" s="231"/>
      <c r="B489" s="231"/>
    </row>
    <row r="490">
      <c r="A490" s="231"/>
      <c r="B490" s="231"/>
    </row>
    <row r="491">
      <c r="A491" s="231"/>
      <c r="B491" s="231"/>
    </row>
    <row r="492">
      <c r="A492" s="231"/>
      <c r="B492" s="231"/>
    </row>
    <row r="493">
      <c r="A493" s="231"/>
      <c r="B493" s="231"/>
    </row>
    <row r="494">
      <c r="A494" s="231"/>
      <c r="B494" s="231"/>
    </row>
    <row r="495">
      <c r="A495" s="231"/>
      <c r="B495" s="231"/>
    </row>
    <row r="496">
      <c r="A496" s="231"/>
      <c r="B496" s="231"/>
    </row>
    <row r="497">
      <c r="A497" s="231"/>
      <c r="B497" s="231"/>
    </row>
    <row r="498">
      <c r="A498" s="231"/>
      <c r="B498" s="231"/>
    </row>
    <row r="499">
      <c r="A499" s="231"/>
      <c r="B499" s="231"/>
    </row>
    <row r="500">
      <c r="A500" s="231"/>
      <c r="B500" s="231"/>
    </row>
    <row r="501">
      <c r="A501" s="231"/>
      <c r="B501" s="231"/>
    </row>
    <row r="502">
      <c r="A502" s="231"/>
      <c r="B502" s="231"/>
    </row>
    <row r="503">
      <c r="A503" s="231"/>
      <c r="B503" s="231"/>
    </row>
    <row r="504">
      <c r="A504" s="231"/>
      <c r="B504" s="231"/>
    </row>
    <row r="505">
      <c r="A505" s="231"/>
      <c r="B505" s="231"/>
    </row>
    <row r="506">
      <c r="A506" s="231"/>
      <c r="B506" s="231"/>
    </row>
    <row r="507">
      <c r="A507" s="231"/>
      <c r="B507" s="231"/>
    </row>
    <row r="508">
      <c r="A508" s="231"/>
      <c r="B508" s="231"/>
    </row>
    <row r="509">
      <c r="A509" s="231"/>
      <c r="B509" s="231"/>
    </row>
    <row r="510">
      <c r="A510" s="231"/>
      <c r="B510" s="231"/>
    </row>
    <row r="511">
      <c r="A511" s="231"/>
      <c r="B511" s="231"/>
    </row>
    <row r="512">
      <c r="A512" s="231"/>
      <c r="B512" s="231"/>
    </row>
    <row r="513">
      <c r="A513" s="231"/>
      <c r="B513" s="231"/>
    </row>
    <row r="514">
      <c r="A514" s="231"/>
      <c r="B514" s="231"/>
    </row>
    <row r="515">
      <c r="A515" s="231"/>
      <c r="B515" s="231"/>
    </row>
    <row r="516">
      <c r="A516" s="231"/>
      <c r="B516" s="231"/>
    </row>
    <row r="517">
      <c r="A517" s="231"/>
      <c r="B517" s="231"/>
    </row>
    <row r="518">
      <c r="A518" s="231"/>
      <c r="B518" s="231"/>
    </row>
    <row r="519">
      <c r="A519" s="231"/>
      <c r="B519" s="231"/>
    </row>
    <row r="520">
      <c r="A520" s="231"/>
      <c r="B520" s="231"/>
    </row>
    <row r="521">
      <c r="A521" s="231"/>
      <c r="B521" s="231"/>
    </row>
    <row r="522">
      <c r="A522" s="231"/>
      <c r="B522" s="231"/>
    </row>
    <row r="523">
      <c r="A523" s="231"/>
      <c r="B523" s="231"/>
    </row>
    <row r="524">
      <c r="A524" s="231"/>
      <c r="B524" s="231"/>
    </row>
    <row r="525">
      <c r="A525" s="231"/>
      <c r="B525" s="231"/>
    </row>
    <row r="526">
      <c r="A526" s="231"/>
      <c r="B526" s="231"/>
    </row>
    <row r="527">
      <c r="A527" s="231"/>
      <c r="B527" s="231"/>
    </row>
    <row r="528">
      <c r="A528" s="231"/>
      <c r="B528" s="231"/>
    </row>
    <row r="529">
      <c r="A529" s="231"/>
      <c r="B529" s="231"/>
    </row>
    <row r="530">
      <c r="A530" s="231"/>
      <c r="B530" s="231"/>
    </row>
    <row r="531">
      <c r="A531" s="231"/>
      <c r="B531" s="231"/>
    </row>
    <row r="532">
      <c r="A532" s="231"/>
      <c r="B532" s="231"/>
    </row>
    <row r="533">
      <c r="A533" s="231"/>
      <c r="B533" s="231"/>
    </row>
    <row r="534">
      <c r="A534" s="231"/>
      <c r="B534" s="231"/>
    </row>
    <row r="535">
      <c r="A535" s="231"/>
      <c r="B535" s="231"/>
    </row>
    <row r="536">
      <c r="A536" s="231"/>
      <c r="B536" s="231"/>
    </row>
    <row r="537">
      <c r="A537" s="231"/>
      <c r="B537" s="231"/>
    </row>
    <row r="538">
      <c r="A538" s="231"/>
      <c r="B538" s="231"/>
    </row>
    <row r="539">
      <c r="A539" s="231"/>
      <c r="B539" s="231"/>
    </row>
    <row r="540">
      <c r="A540" s="231"/>
      <c r="B540" s="231"/>
    </row>
    <row r="541">
      <c r="A541" s="231"/>
      <c r="B541" s="231"/>
    </row>
    <row r="542">
      <c r="A542" s="231"/>
      <c r="B542" s="231"/>
    </row>
    <row r="543">
      <c r="A543" s="231"/>
      <c r="B543" s="231"/>
    </row>
    <row r="544">
      <c r="A544" s="231"/>
      <c r="B544" s="231"/>
    </row>
    <row r="545">
      <c r="A545" s="231"/>
      <c r="B545" s="231"/>
    </row>
    <row r="546">
      <c r="A546" s="231"/>
      <c r="B546" s="231"/>
    </row>
    <row r="547">
      <c r="A547" s="231"/>
      <c r="B547" s="231"/>
    </row>
    <row r="548">
      <c r="A548" s="231"/>
      <c r="B548" s="231"/>
    </row>
    <row r="549">
      <c r="A549" s="231"/>
      <c r="B549" s="231"/>
    </row>
    <row r="550">
      <c r="A550" s="231"/>
      <c r="B550" s="231"/>
    </row>
    <row r="551">
      <c r="A551" s="231"/>
      <c r="B551" s="231"/>
    </row>
    <row r="552">
      <c r="A552" s="231"/>
      <c r="B552" s="231"/>
    </row>
    <row r="553">
      <c r="A553" s="231"/>
      <c r="B553" s="231"/>
    </row>
    <row r="554">
      <c r="A554" s="231"/>
      <c r="B554" s="231"/>
    </row>
    <row r="555">
      <c r="A555" s="231"/>
      <c r="B555" s="231"/>
    </row>
    <row r="556">
      <c r="A556" s="231"/>
      <c r="B556" s="231"/>
    </row>
    <row r="557">
      <c r="A557" s="231"/>
      <c r="B557" s="231"/>
    </row>
    <row r="558">
      <c r="A558" s="231"/>
      <c r="B558" s="231"/>
    </row>
    <row r="559">
      <c r="A559" s="231"/>
      <c r="B559" s="231"/>
    </row>
    <row r="560">
      <c r="A560" s="231"/>
      <c r="B560" s="231"/>
    </row>
    <row r="561">
      <c r="A561" s="231"/>
      <c r="B561" s="231"/>
    </row>
    <row r="562">
      <c r="A562" s="231"/>
      <c r="B562" s="231"/>
    </row>
    <row r="563">
      <c r="A563" s="231"/>
      <c r="B563" s="231"/>
    </row>
    <row r="564">
      <c r="A564" s="231"/>
      <c r="B564" s="231"/>
    </row>
    <row r="565">
      <c r="A565" s="231"/>
      <c r="B565" s="231"/>
    </row>
    <row r="566">
      <c r="A566" s="231"/>
      <c r="B566" s="231"/>
    </row>
    <row r="567">
      <c r="A567" s="231"/>
      <c r="B567" s="231"/>
    </row>
    <row r="568">
      <c r="A568" s="231"/>
      <c r="B568" s="231"/>
    </row>
    <row r="569">
      <c r="A569" s="231"/>
      <c r="B569" s="231"/>
    </row>
    <row r="570">
      <c r="A570" s="231"/>
      <c r="B570" s="231"/>
    </row>
    <row r="571">
      <c r="A571" s="231"/>
      <c r="B571" s="231"/>
    </row>
    <row r="572">
      <c r="A572" s="231"/>
      <c r="B572" s="231"/>
    </row>
    <row r="573">
      <c r="A573" s="231"/>
      <c r="B573" s="231"/>
    </row>
    <row r="574">
      <c r="A574" s="231"/>
      <c r="B574" s="231"/>
    </row>
    <row r="575">
      <c r="A575" s="231"/>
      <c r="B575" s="231"/>
    </row>
    <row r="576">
      <c r="A576" s="231"/>
      <c r="B576" s="231"/>
    </row>
    <row r="577">
      <c r="A577" s="231"/>
      <c r="B577" s="231"/>
    </row>
    <row r="578">
      <c r="A578" s="231"/>
      <c r="B578" s="231"/>
    </row>
    <row r="579">
      <c r="A579" s="231"/>
      <c r="B579" s="231"/>
    </row>
    <row r="580">
      <c r="A580" s="231"/>
      <c r="B580" s="231"/>
    </row>
    <row r="581">
      <c r="A581" s="231"/>
      <c r="B581" s="231"/>
    </row>
    <row r="582">
      <c r="A582" s="231"/>
      <c r="B582" s="231"/>
    </row>
    <row r="583">
      <c r="A583" s="231"/>
      <c r="B583" s="231"/>
    </row>
    <row r="584">
      <c r="A584" s="231"/>
      <c r="B584" s="231"/>
    </row>
    <row r="585">
      <c r="A585" s="231"/>
      <c r="B585" s="231"/>
    </row>
    <row r="586">
      <c r="A586" s="231"/>
      <c r="B586" s="231"/>
    </row>
    <row r="587">
      <c r="A587" s="231"/>
      <c r="B587" s="231"/>
    </row>
    <row r="588">
      <c r="A588" s="231"/>
      <c r="B588" s="231"/>
    </row>
    <row r="589">
      <c r="A589" s="231"/>
      <c r="B589" s="231"/>
    </row>
    <row r="590">
      <c r="A590" s="231"/>
      <c r="B590" s="231"/>
    </row>
    <row r="591">
      <c r="A591" s="231"/>
      <c r="B591" s="231"/>
    </row>
    <row r="592">
      <c r="A592" s="231"/>
      <c r="B592" s="231"/>
    </row>
    <row r="593">
      <c r="A593" s="231"/>
      <c r="B593" s="231"/>
    </row>
    <row r="594">
      <c r="A594" s="231"/>
      <c r="B594" s="231"/>
    </row>
    <row r="595">
      <c r="A595" s="231"/>
      <c r="B595" s="231"/>
    </row>
    <row r="596">
      <c r="A596" s="231"/>
      <c r="B596" s="231"/>
    </row>
    <row r="597">
      <c r="A597" s="231"/>
      <c r="B597" s="231"/>
    </row>
    <row r="598">
      <c r="A598" s="231"/>
      <c r="B598" s="231"/>
    </row>
    <row r="599">
      <c r="A599" s="231"/>
      <c r="B599" s="231"/>
    </row>
    <row r="600">
      <c r="A600" s="231"/>
      <c r="B600" s="231"/>
    </row>
    <row r="601">
      <c r="A601" s="231"/>
      <c r="B601" s="231"/>
    </row>
    <row r="602">
      <c r="A602" s="231"/>
      <c r="B602" s="231"/>
    </row>
    <row r="603">
      <c r="A603" s="231"/>
      <c r="B603" s="231"/>
    </row>
    <row r="604">
      <c r="A604" s="231"/>
      <c r="B604" s="231"/>
    </row>
    <row r="605">
      <c r="A605" s="231"/>
      <c r="B605" s="231"/>
    </row>
    <row r="606">
      <c r="A606" s="231"/>
      <c r="B606" s="231"/>
    </row>
    <row r="607">
      <c r="A607" s="231"/>
      <c r="B607" s="231"/>
    </row>
    <row r="608">
      <c r="A608" s="231"/>
      <c r="B608" s="231"/>
    </row>
    <row r="609">
      <c r="A609" s="231"/>
      <c r="B609" s="231"/>
    </row>
    <row r="610">
      <c r="A610" s="231"/>
      <c r="B610" s="231"/>
    </row>
    <row r="611">
      <c r="A611" s="231"/>
      <c r="B611" s="231"/>
    </row>
    <row r="612">
      <c r="A612" s="231"/>
      <c r="B612" s="231"/>
    </row>
    <row r="613">
      <c r="A613" s="231"/>
      <c r="B613" s="231"/>
    </row>
    <row r="614">
      <c r="A614" s="231"/>
      <c r="B614" s="231"/>
    </row>
    <row r="615">
      <c r="A615" s="231"/>
      <c r="B615" s="231"/>
    </row>
    <row r="616">
      <c r="A616" s="231"/>
      <c r="B616" s="231"/>
    </row>
    <row r="617">
      <c r="A617" s="231"/>
      <c r="B617" s="231"/>
    </row>
    <row r="618">
      <c r="A618" s="231"/>
      <c r="B618" s="231"/>
    </row>
    <row r="619">
      <c r="A619" s="231"/>
      <c r="B619" s="231"/>
    </row>
    <row r="620">
      <c r="A620" s="231"/>
      <c r="B620" s="231"/>
    </row>
    <row r="621">
      <c r="A621" s="231"/>
      <c r="B621" s="231"/>
    </row>
    <row r="622">
      <c r="A622" s="231"/>
      <c r="B622" s="231"/>
    </row>
    <row r="623">
      <c r="A623" s="231"/>
      <c r="B623" s="231"/>
    </row>
    <row r="624">
      <c r="A624" s="231"/>
      <c r="B624" s="231"/>
    </row>
    <row r="625">
      <c r="A625" s="231"/>
      <c r="B625" s="231"/>
    </row>
    <row r="626">
      <c r="A626" s="231"/>
      <c r="B626" s="231"/>
    </row>
    <row r="627">
      <c r="A627" s="231"/>
      <c r="B627" s="231"/>
    </row>
    <row r="628">
      <c r="A628" s="231"/>
      <c r="B628" s="231"/>
    </row>
    <row r="629">
      <c r="A629" s="231"/>
      <c r="B629" s="231"/>
    </row>
    <row r="630">
      <c r="A630" s="231"/>
      <c r="B630" s="231"/>
    </row>
    <row r="631">
      <c r="A631" s="231"/>
      <c r="B631" s="231"/>
    </row>
    <row r="632">
      <c r="A632" s="231"/>
      <c r="B632" s="231"/>
    </row>
    <row r="633">
      <c r="A633" s="231"/>
      <c r="B633" s="231"/>
    </row>
    <row r="634">
      <c r="A634" s="231"/>
      <c r="B634" s="231"/>
    </row>
    <row r="635">
      <c r="A635" s="231"/>
      <c r="B635" s="231"/>
    </row>
    <row r="636">
      <c r="A636" s="231"/>
      <c r="B636" s="231"/>
    </row>
    <row r="637">
      <c r="A637" s="231"/>
      <c r="B637" s="231"/>
    </row>
    <row r="638">
      <c r="A638" s="231"/>
      <c r="B638" s="231"/>
    </row>
    <row r="639">
      <c r="A639" s="231"/>
      <c r="B639" s="231"/>
    </row>
    <row r="640">
      <c r="A640" s="231"/>
      <c r="B640" s="231"/>
    </row>
    <row r="641">
      <c r="A641" s="231"/>
      <c r="B641" s="231"/>
    </row>
    <row r="642">
      <c r="A642" s="231"/>
      <c r="B642" s="231"/>
    </row>
    <row r="643">
      <c r="A643" s="231"/>
      <c r="B643" s="231"/>
    </row>
    <row r="644">
      <c r="A644" s="231"/>
      <c r="B644" s="231"/>
    </row>
    <row r="645">
      <c r="A645" s="231"/>
      <c r="B645" s="231"/>
    </row>
    <row r="646">
      <c r="A646" s="231"/>
      <c r="B646" s="231"/>
    </row>
    <row r="647">
      <c r="A647" s="231"/>
      <c r="B647" s="231"/>
    </row>
    <row r="648">
      <c r="A648" s="231"/>
      <c r="B648" s="231"/>
    </row>
    <row r="649">
      <c r="A649" s="231"/>
      <c r="B649" s="231"/>
    </row>
    <row r="650">
      <c r="A650" s="231"/>
      <c r="B650" s="231"/>
    </row>
    <row r="651">
      <c r="A651" s="231"/>
      <c r="B651" s="231"/>
    </row>
    <row r="652">
      <c r="A652" s="231"/>
      <c r="B652" s="231"/>
    </row>
    <row r="653">
      <c r="A653" s="231"/>
      <c r="B653" s="231"/>
    </row>
    <row r="654">
      <c r="A654" s="231"/>
      <c r="B654" s="231"/>
    </row>
    <row r="655">
      <c r="A655" s="231"/>
      <c r="B655" s="231"/>
    </row>
    <row r="656">
      <c r="A656" s="231"/>
      <c r="B656" s="231"/>
    </row>
    <row r="657">
      <c r="A657" s="231"/>
      <c r="B657" s="231"/>
    </row>
    <row r="658">
      <c r="A658" s="231"/>
      <c r="B658" s="231"/>
    </row>
    <row r="659">
      <c r="A659" s="231"/>
      <c r="B659" s="231"/>
    </row>
    <row r="660">
      <c r="A660" s="231"/>
      <c r="B660" s="231"/>
    </row>
    <row r="661">
      <c r="A661" s="231"/>
      <c r="B661" s="231"/>
    </row>
    <row r="662">
      <c r="A662" s="231"/>
      <c r="B662" s="231"/>
    </row>
    <row r="663">
      <c r="A663" s="231"/>
      <c r="B663" s="231"/>
    </row>
    <row r="664">
      <c r="A664" s="231"/>
      <c r="B664" s="231"/>
    </row>
    <row r="665">
      <c r="A665" s="231"/>
      <c r="B665" s="231"/>
    </row>
    <row r="666">
      <c r="A666" s="231"/>
      <c r="B666" s="231"/>
    </row>
    <row r="667">
      <c r="A667" s="231"/>
      <c r="B667" s="231"/>
    </row>
    <row r="668">
      <c r="A668" s="231"/>
      <c r="B668" s="231"/>
    </row>
    <row r="669">
      <c r="A669" s="231"/>
      <c r="B669" s="231"/>
    </row>
    <row r="670">
      <c r="A670" s="231"/>
      <c r="B670" s="231"/>
    </row>
    <row r="671">
      <c r="A671" s="231"/>
      <c r="B671" s="231"/>
    </row>
    <row r="672">
      <c r="A672" s="231"/>
      <c r="B672" s="231"/>
    </row>
    <row r="673">
      <c r="A673" s="231"/>
      <c r="B673" s="231"/>
    </row>
    <row r="674">
      <c r="A674" s="231"/>
      <c r="B674" s="231"/>
    </row>
    <row r="675">
      <c r="A675" s="231"/>
      <c r="B675" s="231"/>
    </row>
    <row r="676">
      <c r="A676" s="231"/>
      <c r="B676" s="231"/>
    </row>
    <row r="677">
      <c r="A677" s="231"/>
      <c r="B677" s="231"/>
    </row>
    <row r="678">
      <c r="A678" s="231"/>
      <c r="B678" s="231"/>
    </row>
    <row r="679">
      <c r="A679" s="231"/>
      <c r="B679" s="231"/>
    </row>
    <row r="680">
      <c r="A680" s="231"/>
      <c r="B680" s="231"/>
    </row>
    <row r="681">
      <c r="A681" s="231"/>
      <c r="B681" s="231"/>
    </row>
    <row r="682">
      <c r="A682" s="231"/>
      <c r="B682" s="231"/>
    </row>
    <row r="683">
      <c r="A683" s="231"/>
      <c r="B683" s="231"/>
    </row>
    <row r="684">
      <c r="A684" s="231"/>
      <c r="B684" s="231"/>
    </row>
    <row r="685">
      <c r="A685" s="231"/>
      <c r="B685" s="231"/>
    </row>
    <row r="686">
      <c r="A686" s="231"/>
      <c r="B686" s="231"/>
    </row>
    <row r="687">
      <c r="A687" s="231"/>
      <c r="B687" s="231"/>
    </row>
    <row r="688">
      <c r="A688" s="231"/>
      <c r="B688" s="231"/>
    </row>
    <row r="689">
      <c r="A689" s="231"/>
      <c r="B689" s="231"/>
    </row>
    <row r="690">
      <c r="A690" s="231"/>
      <c r="B690" s="231"/>
    </row>
    <row r="691">
      <c r="A691" s="231"/>
      <c r="B691" s="231"/>
    </row>
    <row r="692">
      <c r="A692" s="231"/>
      <c r="B692" s="231"/>
    </row>
    <row r="693">
      <c r="A693" s="231"/>
      <c r="B693" s="231"/>
    </row>
    <row r="694">
      <c r="A694" s="231"/>
      <c r="B694" s="231"/>
    </row>
    <row r="695">
      <c r="A695" s="231"/>
      <c r="B695" s="231"/>
    </row>
    <row r="696">
      <c r="A696" s="231"/>
      <c r="B696" s="231"/>
    </row>
    <row r="697">
      <c r="A697" s="231"/>
      <c r="B697" s="231"/>
    </row>
    <row r="698">
      <c r="A698" s="231"/>
      <c r="B698" s="231"/>
    </row>
    <row r="699">
      <c r="A699" s="231"/>
      <c r="B699" s="231"/>
    </row>
    <row r="700">
      <c r="A700" s="231"/>
      <c r="B700" s="231"/>
    </row>
    <row r="701">
      <c r="A701" s="231"/>
      <c r="B701" s="231"/>
    </row>
    <row r="702">
      <c r="A702" s="231"/>
      <c r="B702" s="231"/>
    </row>
    <row r="703">
      <c r="A703" s="231"/>
      <c r="B703" s="231"/>
    </row>
    <row r="704">
      <c r="A704" s="231"/>
      <c r="B704" s="231"/>
    </row>
    <row r="705">
      <c r="A705" s="231"/>
      <c r="B705" s="231"/>
    </row>
    <row r="706">
      <c r="A706" s="231"/>
      <c r="B706" s="231"/>
    </row>
    <row r="707">
      <c r="A707" s="231"/>
      <c r="B707" s="231"/>
    </row>
    <row r="708">
      <c r="A708" s="231"/>
      <c r="B708" s="231"/>
    </row>
    <row r="709">
      <c r="A709" s="231"/>
      <c r="B709" s="231"/>
    </row>
    <row r="710">
      <c r="A710" s="231"/>
      <c r="B710" s="231"/>
    </row>
    <row r="711">
      <c r="A711" s="231"/>
      <c r="B711" s="231"/>
    </row>
    <row r="712">
      <c r="A712" s="231"/>
      <c r="B712" s="231"/>
    </row>
    <row r="713">
      <c r="A713" s="231"/>
      <c r="B713" s="231"/>
    </row>
    <row r="714">
      <c r="A714" s="231"/>
      <c r="B714" s="231"/>
    </row>
    <row r="715">
      <c r="A715" s="231"/>
      <c r="B715" s="231"/>
    </row>
    <row r="716">
      <c r="A716" s="231"/>
      <c r="B716" s="231"/>
    </row>
    <row r="717">
      <c r="A717" s="231"/>
      <c r="B717" s="231"/>
    </row>
    <row r="718">
      <c r="A718" s="231"/>
      <c r="B718" s="231"/>
    </row>
    <row r="719">
      <c r="A719" s="231"/>
      <c r="B719" s="231"/>
    </row>
    <row r="720">
      <c r="A720" s="231"/>
      <c r="B720" s="231"/>
    </row>
    <row r="721">
      <c r="A721" s="231"/>
      <c r="B721" s="231"/>
    </row>
    <row r="722">
      <c r="A722" s="231"/>
      <c r="B722" s="231"/>
    </row>
    <row r="723">
      <c r="A723" s="231"/>
      <c r="B723" s="231"/>
    </row>
    <row r="724">
      <c r="A724" s="231"/>
      <c r="B724" s="231"/>
    </row>
    <row r="725">
      <c r="A725" s="231"/>
      <c r="B725" s="231"/>
    </row>
    <row r="726">
      <c r="A726" s="231"/>
      <c r="B726" s="231"/>
    </row>
    <row r="727">
      <c r="A727" s="231"/>
      <c r="B727" s="231"/>
    </row>
    <row r="728">
      <c r="A728" s="231"/>
      <c r="B728" s="231"/>
    </row>
    <row r="729">
      <c r="A729" s="231"/>
      <c r="B729" s="231"/>
    </row>
    <row r="730">
      <c r="A730" s="231"/>
      <c r="B730" s="231"/>
    </row>
    <row r="731">
      <c r="A731" s="231"/>
      <c r="B731" s="231"/>
    </row>
    <row r="732">
      <c r="A732" s="231"/>
      <c r="B732" s="231"/>
    </row>
    <row r="733">
      <c r="A733" s="231"/>
      <c r="B733" s="231"/>
    </row>
    <row r="734">
      <c r="A734" s="231"/>
      <c r="B734" s="231"/>
    </row>
    <row r="735">
      <c r="A735" s="231"/>
      <c r="B735" s="231"/>
    </row>
    <row r="736">
      <c r="A736" s="231"/>
      <c r="B736" s="231"/>
    </row>
    <row r="737">
      <c r="A737" s="231"/>
      <c r="B737" s="231"/>
    </row>
    <row r="738">
      <c r="A738" s="231"/>
      <c r="B738" s="231"/>
    </row>
    <row r="739">
      <c r="A739" s="231"/>
      <c r="B739" s="231"/>
    </row>
    <row r="740">
      <c r="A740" s="231"/>
      <c r="B740" s="231"/>
    </row>
    <row r="741">
      <c r="A741" s="231"/>
      <c r="B741" s="231"/>
    </row>
    <row r="742">
      <c r="A742" s="231"/>
      <c r="B742" s="231"/>
    </row>
    <row r="743">
      <c r="A743" s="231"/>
      <c r="B743" s="231"/>
    </row>
    <row r="744">
      <c r="A744" s="231"/>
      <c r="B744" s="231"/>
    </row>
    <row r="745">
      <c r="A745" s="231"/>
      <c r="B745" s="231"/>
    </row>
    <row r="746">
      <c r="A746" s="231"/>
      <c r="B746" s="231"/>
    </row>
    <row r="747">
      <c r="A747" s="231"/>
      <c r="B747" s="231"/>
    </row>
    <row r="748">
      <c r="A748" s="231"/>
      <c r="B748" s="231"/>
    </row>
    <row r="749">
      <c r="A749" s="231"/>
      <c r="B749" s="231"/>
    </row>
    <row r="750">
      <c r="A750" s="231"/>
      <c r="B750" s="231"/>
    </row>
    <row r="751">
      <c r="A751" s="231"/>
      <c r="B751" s="231"/>
    </row>
    <row r="752">
      <c r="A752" s="231"/>
      <c r="B752" s="231"/>
    </row>
    <row r="753">
      <c r="A753" s="231"/>
      <c r="B753" s="231"/>
    </row>
    <row r="754">
      <c r="A754" s="231"/>
      <c r="B754" s="231"/>
    </row>
    <row r="755">
      <c r="A755" s="231"/>
      <c r="B755" s="231"/>
    </row>
    <row r="756">
      <c r="A756" s="231"/>
      <c r="B756" s="231"/>
    </row>
    <row r="757">
      <c r="A757" s="231"/>
      <c r="B757" s="231"/>
    </row>
    <row r="758">
      <c r="A758" s="231"/>
      <c r="B758" s="231"/>
    </row>
    <row r="759">
      <c r="A759" s="231"/>
      <c r="B759" s="231"/>
    </row>
    <row r="760">
      <c r="A760" s="231"/>
      <c r="B760" s="231"/>
    </row>
    <row r="761">
      <c r="A761" s="231"/>
      <c r="B761" s="231"/>
    </row>
    <row r="762">
      <c r="A762" s="231"/>
      <c r="B762" s="231"/>
    </row>
    <row r="763">
      <c r="A763" s="231"/>
      <c r="B763" s="231"/>
    </row>
    <row r="764">
      <c r="A764" s="231"/>
      <c r="B764" s="231"/>
    </row>
    <row r="765">
      <c r="A765" s="231"/>
      <c r="B765" s="231"/>
    </row>
    <row r="766">
      <c r="A766" s="231"/>
      <c r="B766" s="231"/>
    </row>
    <row r="767">
      <c r="A767" s="231"/>
      <c r="B767" s="231"/>
    </row>
    <row r="768">
      <c r="A768" s="231"/>
      <c r="B768" s="231"/>
    </row>
    <row r="769">
      <c r="A769" s="231"/>
      <c r="B769" s="231"/>
    </row>
    <row r="770">
      <c r="A770" s="231"/>
      <c r="B770" s="231"/>
    </row>
    <row r="771">
      <c r="A771" s="231"/>
      <c r="B771" s="231"/>
    </row>
    <row r="772">
      <c r="A772" s="231"/>
      <c r="B772" s="231"/>
    </row>
    <row r="773">
      <c r="A773" s="231"/>
      <c r="B773" s="231"/>
    </row>
    <row r="774">
      <c r="A774" s="231"/>
      <c r="B774" s="231"/>
    </row>
    <row r="775">
      <c r="A775" s="231"/>
      <c r="B775" s="231"/>
    </row>
    <row r="776">
      <c r="A776" s="231"/>
      <c r="B776" s="231"/>
    </row>
    <row r="777">
      <c r="A777" s="231"/>
      <c r="B777" s="231"/>
    </row>
    <row r="778">
      <c r="A778" s="231"/>
      <c r="B778" s="231"/>
    </row>
    <row r="779">
      <c r="A779" s="231"/>
      <c r="B779" s="231"/>
    </row>
    <row r="780">
      <c r="A780" s="231"/>
      <c r="B780" s="231"/>
    </row>
    <row r="781">
      <c r="A781" s="231"/>
      <c r="B781" s="231"/>
    </row>
    <row r="782">
      <c r="A782" s="231"/>
      <c r="B782" s="231"/>
    </row>
    <row r="783">
      <c r="A783" s="231"/>
      <c r="B783" s="231"/>
    </row>
    <row r="784">
      <c r="A784" s="231"/>
      <c r="B784" s="231"/>
    </row>
    <row r="785">
      <c r="A785" s="231"/>
      <c r="B785" s="231"/>
    </row>
    <row r="786">
      <c r="A786" s="231"/>
      <c r="B786" s="231"/>
    </row>
    <row r="787">
      <c r="A787" s="231"/>
      <c r="B787" s="231"/>
    </row>
    <row r="788">
      <c r="A788" s="231"/>
      <c r="B788" s="231"/>
    </row>
    <row r="789">
      <c r="A789" s="231"/>
      <c r="B789" s="231"/>
    </row>
    <row r="790">
      <c r="A790" s="231"/>
      <c r="B790" s="231"/>
    </row>
    <row r="791">
      <c r="A791" s="231"/>
      <c r="B791" s="231"/>
    </row>
    <row r="792">
      <c r="A792" s="231"/>
      <c r="B792" s="231"/>
    </row>
    <row r="793">
      <c r="A793" s="231"/>
      <c r="B793" s="231"/>
    </row>
    <row r="794">
      <c r="A794" s="231"/>
      <c r="B794" s="231"/>
    </row>
    <row r="795">
      <c r="A795" s="231"/>
      <c r="B795" s="231"/>
    </row>
    <row r="796">
      <c r="A796" s="231"/>
      <c r="B796" s="231"/>
    </row>
    <row r="797">
      <c r="A797" s="231"/>
      <c r="B797" s="231"/>
    </row>
    <row r="798">
      <c r="A798" s="231"/>
      <c r="B798" s="231"/>
    </row>
    <row r="799">
      <c r="A799" s="231"/>
      <c r="B799" s="231"/>
    </row>
    <row r="800">
      <c r="A800" s="231"/>
      <c r="B800" s="231"/>
    </row>
    <row r="801">
      <c r="A801" s="231"/>
      <c r="B801" s="231"/>
    </row>
    <row r="802">
      <c r="A802" s="231"/>
      <c r="B802" s="231"/>
    </row>
    <row r="803">
      <c r="A803" s="231"/>
      <c r="B803" s="231"/>
    </row>
    <row r="804">
      <c r="A804" s="231"/>
      <c r="B804" s="231"/>
    </row>
    <row r="805">
      <c r="A805" s="231"/>
      <c r="B805" s="231"/>
    </row>
    <row r="806">
      <c r="A806" s="231"/>
      <c r="B806" s="231"/>
    </row>
    <row r="807">
      <c r="A807" s="231"/>
      <c r="B807" s="231"/>
    </row>
    <row r="808">
      <c r="A808" s="231"/>
      <c r="B808" s="231"/>
    </row>
    <row r="809">
      <c r="A809" s="231"/>
      <c r="B809" s="231"/>
    </row>
    <row r="810">
      <c r="A810" s="231"/>
      <c r="B810" s="231"/>
    </row>
    <row r="811">
      <c r="A811" s="231"/>
      <c r="B811" s="231"/>
    </row>
    <row r="812">
      <c r="A812" s="231"/>
      <c r="B812" s="231"/>
    </row>
    <row r="813">
      <c r="A813" s="231"/>
      <c r="B813" s="231"/>
    </row>
    <row r="814">
      <c r="A814" s="231"/>
      <c r="B814" s="231"/>
    </row>
    <row r="815">
      <c r="A815" s="231"/>
      <c r="B815" s="231"/>
    </row>
    <row r="816">
      <c r="A816" s="231"/>
      <c r="B816" s="231"/>
    </row>
    <row r="817">
      <c r="A817" s="231"/>
      <c r="B817" s="231"/>
    </row>
    <row r="818">
      <c r="A818" s="231"/>
      <c r="B818" s="231"/>
    </row>
    <row r="819">
      <c r="A819" s="231"/>
      <c r="B819" s="231"/>
    </row>
    <row r="820">
      <c r="A820" s="231"/>
      <c r="B820" s="231"/>
    </row>
    <row r="821">
      <c r="A821" s="231"/>
      <c r="B821" s="231"/>
    </row>
    <row r="822">
      <c r="A822" s="231"/>
      <c r="B822" s="231"/>
    </row>
    <row r="823">
      <c r="A823" s="231"/>
      <c r="B823" s="231"/>
    </row>
    <row r="824">
      <c r="A824" s="231"/>
      <c r="B824" s="231"/>
    </row>
    <row r="825">
      <c r="A825" s="231"/>
      <c r="B825" s="231"/>
    </row>
    <row r="826">
      <c r="A826" s="231"/>
      <c r="B826" s="231"/>
    </row>
    <row r="827">
      <c r="A827" s="231"/>
      <c r="B827" s="231"/>
    </row>
    <row r="828">
      <c r="A828" s="231"/>
      <c r="B828" s="231"/>
    </row>
    <row r="829">
      <c r="A829" s="231"/>
      <c r="B829" s="231"/>
    </row>
    <row r="830">
      <c r="A830" s="231"/>
      <c r="B830" s="231"/>
    </row>
    <row r="831">
      <c r="A831" s="231"/>
      <c r="B831" s="231"/>
    </row>
    <row r="832">
      <c r="A832" s="231"/>
      <c r="B832" s="231"/>
    </row>
    <row r="833">
      <c r="A833" s="231"/>
      <c r="B833" s="231"/>
    </row>
    <row r="834">
      <c r="A834" s="231"/>
      <c r="B834" s="231"/>
    </row>
    <row r="835">
      <c r="A835" s="231"/>
      <c r="B835" s="231"/>
    </row>
    <row r="836">
      <c r="A836" s="231"/>
      <c r="B836" s="231"/>
    </row>
    <row r="837">
      <c r="A837" s="231"/>
      <c r="B837" s="231"/>
    </row>
    <row r="838">
      <c r="A838" s="231"/>
      <c r="B838" s="231"/>
    </row>
    <row r="839">
      <c r="A839" s="231"/>
      <c r="B839" s="231"/>
    </row>
    <row r="840">
      <c r="A840" s="231"/>
      <c r="B840" s="231"/>
    </row>
    <row r="841">
      <c r="A841" s="231"/>
      <c r="B841" s="231"/>
    </row>
    <row r="842">
      <c r="A842" s="231"/>
      <c r="B842" s="231"/>
    </row>
    <row r="843">
      <c r="A843" s="231"/>
      <c r="B843" s="231"/>
    </row>
    <row r="844">
      <c r="A844" s="231"/>
      <c r="B844" s="231"/>
    </row>
    <row r="845">
      <c r="A845" s="231"/>
      <c r="B845" s="231"/>
    </row>
    <row r="846">
      <c r="A846" s="231"/>
      <c r="B846" s="231"/>
    </row>
    <row r="847">
      <c r="A847" s="231"/>
      <c r="B847" s="231"/>
    </row>
    <row r="848">
      <c r="A848" s="231"/>
      <c r="B848" s="231"/>
    </row>
    <row r="849">
      <c r="A849" s="231"/>
      <c r="B849" s="231"/>
    </row>
    <row r="850">
      <c r="A850" s="231"/>
      <c r="B850" s="231"/>
    </row>
    <row r="851">
      <c r="A851" s="231"/>
      <c r="B851" s="231"/>
    </row>
    <row r="852">
      <c r="A852" s="231"/>
      <c r="B852" s="231"/>
    </row>
    <row r="853">
      <c r="A853" s="231"/>
      <c r="B853" s="231"/>
    </row>
    <row r="854">
      <c r="A854" s="231"/>
      <c r="B854" s="231"/>
    </row>
    <row r="855">
      <c r="A855" s="231"/>
      <c r="B855" s="231"/>
    </row>
    <row r="856">
      <c r="A856" s="231"/>
      <c r="B856" s="231"/>
    </row>
    <row r="857">
      <c r="A857" s="231"/>
      <c r="B857" s="231"/>
    </row>
    <row r="858">
      <c r="A858" s="231"/>
      <c r="B858" s="231"/>
    </row>
    <row r="859">
      <c r="A859" s="231"/>
      <c r="B859" s="231"/>
    </row>
    <row r="860">
      <c r="A860" s="231"/>
      <c r="B860" s="231"/>
    </row>
    <row r="861">
      <c r="A861" s="231"/>
      <c r="B861" s="231"/>
    </row>
    <row r="862">
      <c r="A862" s="231"/>
      <c r="B862" s="231"/>
    </row>
    <row r="863">
      <c r="A863" s="231"/>
      <c r="B863" s="231"/>
    </row>
    <row r="864">
      <c r="A864" s="231"/>
      <c r="B864" s="231"/>
    </row>
    <row r="865">
      <c r="A865" s="231"/>
      <c r="B865" s="231"/>
    </row>
    <row r="866">
      <c r="A866" s="231"/>
      <c r="B866" s="231"/>
    </row>
    <row r="867">
      <c r="A867" s="231"/>
      <c r="B867" s="231"/>
    </row>
    <row r="868">
      <c r="A868" s="231"/>
      <c r="B868" s="231"/>
    </row>
    <row r="869">
      <c r="A869" s="231"/>
      <c r="B869" s="231"/>
    </row>
    <row r="870">
      <c r="A870" s="231"/>
      <c r="B870" s="231"/>
    </row>
    <row r="871">
      <c r="A871" s="231"/>
      <c r="B871" s="231"/>
    </row>
    <row r="872">
      <c r="A872" s="231"/>
      <c r="B872" s="231"/>
    </row>
    <row r="873">
      <c r="A873" s="231"/>
      <c r="B873" s="231"/>
    </row>
    <row r="874">
      <c r="A874" s="231"/>
      <c r="B874" s="231"/>
    </row>
    <row r="875">
      <c r="A875" s="231"/>
      <c r="B875" s="231"/>
    </row>
    <row r="876">
      <c r="A876" s="231"/>
      <c r="B876" s="231"/>
    </row>
    <row r="877">
      <c r="A877" s="231"/>
      <c r="B877" s="231"/>
    </row>
    <row r="878">
      <c r="A878" s="231"/>
      <c r="B878" s="231"/>
    </row>
    <row r="879">
      <c r="A879" s="231"/>
      <c r="B879" s="231"/>
    </row>
    <row r="880">
      <c r="A880" s="231"/>
      <c r="B880" s="231"/>
    </row>
    <row r="881">
      <c r="A881" s="231"/>
      <c r="B881" s="231"/>
    </row>
    <row r="882">
      <c r="A882" s="231"/>
      <c r="B882" s="231"/>
    </row>
    <row r="883">
      <c r="A883" s="231"/>
      <c r="B883" s="231"/>
    </row>
    <row r="884">
      <c r="A884" s="231"/>
      <c r="B884" s="231"/>
    </row>
    <row r="885">
      <c r="A885" s="231"/>
      <c r="B885" s="231"/>
    </row>
    <row r="886">
      <c r="A886" s="231"/>
      <c r="B886" s="231"/>
    </row>
    <row r="887">
      <c r="A887" s="231"/>
      <c r="B887" s="231"/>
    </row>
    <row r="888">
      <c r="A888" s="231"/>
      <c r="B888" s="231"/>
    </row>
    <row r="889">
      <c r="A889" s="231"/>
      <c r="B889" s="231"/>
    </row>
    <row r="890">
      <c r="A890" s="231"/>
      <c r="B890" s="231"/>
    </row>
    <row r="891">
      <c r="A891" s="231"/>
      <c r="B891" s="231"/>
    </row>
    <row r="892">
      <c r="A892" s="231"/>
      <c r="B892" s="231"/>
    </row>
    <row r="893">
      <c r="A893" s="231"/>
      <c r="B893" s="231"/>
    </row>
    <row r="894">
      <c r="A894" s="231"/>
      <c r="B894" s="231"/>
    </row>
    <row r="895">
      <c r="A895" s="231"/>
      <c r="B895" s="231"/>
    </row>
    <row r="896">
      <c r="A896" s="231"/>
      <c r="B896" s="231"/>
    </row>
    <row r="897">
      <c r="A897" s="231"/>
      <c r="B897" s="231"/>
    </row>
    <row r="898">
      <c r="A898" s="231"/>
      <c r="B898" s="231"/>
    </row>
    <row r="899">
      <c r="A899" s="231"/>
      <c r="B899" s="231"/>
    </row>
    <row r="900">
      <c r="A900" s="231"/>
      <c r="B900" s="231"/>
    </row>
    <row r="901">
      <c r="A901" s="231"/>
      <c r="B901" s="231"/>
    </row>
    <row r="902">
      <c r="A902" s="231"/>
      <c r="B902" s="231"/>
    </row>
    <row r="903">
      <c r="A903" s="231"/>
      <c r="B903" s="231"/>
    </row>
    <row r="904">
      <c r="A904" s="231"/>
      <c r="B904" s="231"/>
    </row>
    <row r="905">
      <c r="A905" s="231"/>
      <c r="B905" s="231"/>
    </row>
    <row r="906">
      <c r="A906" s="231"/>
      <c r="B906" s="231"/>
    </row>
    <row r="907">
      <c r="A907" s="231"/>
      <c r="B907" s="231"/>
    </row>
    <row r="908">
      <c r="A908" s="231"/>
      <c r="B908" s="231"/>
    </row>
    <row r="909">
      <c r="A909" s="231"/>
      <c r="B909" s="231"/>
    </row>
    <row r="910">
      <c r="A910" s="231"/>
      <c r="B910" s="231"/>
    </row>
    <row r="911">
      <c r="A911" s="231"/>
      <c r="B911" s="231"/>
    </row>
    <row r="912">
      <c r="A912" s="231"/>
      <c r="B912" s="231"/>
    </row>
    <row r="913">
      <c r="A913" s="231"/>
      <c r="B913" s="231"/>
    </row>
    <row r="914">
      <c r="A914" s="231"/>
      <c r="B914" s="231"/>
    </row>
    <row r="915">
      <c r="A915" s="231"/>
      <c r="B915" s="231"/>
    </row>
    <row r="916">
      <c r="A916" s="231"/>
      <c r="B916" s="231"/>
    </row>
    <row r="917">
      <c r="A917" s="231"/>
      <c r="B917" s="231"/>
    </row>
    <row r="918">
      <c r="A918" s="231"/>
      <c r="B918" s="231"/>
    </row>
    <row r="919">
      <c r="A919" s="231"/>
      <c r="B919" s="231"/>
    </row>
    <row r="920">
      <c r="A920" s="231"/>
      <c r="B920" s="231"/>
    </row>
    <row r="921">
      <c r="A921" s="231"/>
      <c r="B921" s="231"/>
    </row>
    <row r="922">
      <c r="A922" s="231"/>
      <c r="B922" s="231"/>
    </row>
    <row r="923">
      <c r="A923" s="231"/>
      <c r="B923" s="231"/>
    </row>
    <row r="924">
      <c r="A924" s="231"/>
      <c r="B924" s="231"/>
    </row>
    <row r="925">
      <c r="A925" s="231"/>
      <c r="B925" s="231"/>
    </row>
    <row r="926">
      <c r="A926" s="231"/>
      <c r="B926" s="231"/>
    </row>
    <row r="927">
      <c r="A927" s="231"/>
      <c r="B927" s="231"/>
    </row>
    <row r="928">
      <c r="A928" s="231"/>
      <c r="B928" s="231"/>
    </row>
    <row r="929">
      <c r="A929" s="231"/>
      <c r="B929" s="231"/>
    </row>
    <row r="930">
      <c r="A930" s="231"/>
      <c r="B930" s="231"/>
    </row>
    <row r="931">
      <c r="A931" s="231"/>
      <c r="B931" s="231"/>
    </row>
    <row r="932">
      <c r="A932" s="231"/>
      <c r="B932" s="231"/>
    </row>
    <row r="933">
      <c r="A933" s="231"/>
      <c r="B933" s="231"/>
    </row>
    <row r="934">
      <c r="A934" s="231"/>
      <c r="B934" s="231"/>
    </row>
    <row r="935">
      <c r="A935" s="231"/>
      <c r="B935" s="231"/>
    </row>
    <row r="936">
      <c r="A936" s="231"/>
      <c r="B936" s="231"/>
    </row>
    <row r="937">
      <c r="A937" s="231"/>
      <c r="B937" s="231"/>
    </row>
    <row r="938">
      <c r="A938" s="231"/>
      <c r="B938" s="231"/>
    </row>
    <row r="939">
      <c r="A939" s="231"/>
      <c r="B939" s="231"/>
    </row>
    <row r="940">
      <c r="A940" s="231"/>
      <c r="B940" s="231"/>
    </row>
    <row r="941">
      <c r="A941" s="231"/>
      <c r="B941" s="231"/>
    </row>
    <row r="942">
      <c r="A942" s="231"/>
      <c r="B942" s="231"/>
    </row>
    <row r="943">
      <c r="A943" s="231"/>
      <c r="B943" s="231"/>
    </row>
    <row r="944">
      <c r="A944" s="231"/>
      <c r="B944" s="231"/>
    </row>
    <row r="945">
      <c r="A945" s="231"/>
      <c r="B945" s="231"/>
    </row>
    <row r="946">
      <c r="A946" s="231"/>
      <c r="B946" s="231"/>
    </row>
    <row r="947">
      <c r="A947" s="231"/>
      <c r="B947" s="231"/>
    </row>
    <row r="948">
      <c r="A948" s="231"/>
      <c r="B948" s="231"/>
    </row>
    <row r="949">
      <c r="A949" s="231"/>
      <c r="B949" s="231"/>
    </row>
    <row r="950">
      <c r="A950" s="231"/>
      <c r="B950" s="231"/>
    </row>
    <row r="951">
      <c r="A951" s="231"/>
      <c r="B951" s="231"/>
    </row>
    <row r="952">
      <c r="A952" s="231"/>
      <c r="B952" s="231"/>
    </row>
    <row r="953">
      <c r="A953" s="231"/>
      <c r="B953" s="231"/>
    </row>
    <row r="954">
      <c r="A954" s="231"/>
      <c r="B954" s="231"/>
    </row>
    <row r="955">
      <c r="A955" s="231"/>
      <c r="B955" s="231"/>
    </row>
    <row r="956">
      <c r="A956" s="231"/>
      <c r="B956" s="231"/>
    </row>
    <row r="957">
      <c r="A957" s="231"/>
      <c r="B957" s="231"/>
    </row>
    <row r="958">
      <c r="A958" s="231"/>
      <c r="B958" s="231"/>
    </row>
    <row r="959">
      <c r="A959" s="231"/>
      <c r="B959" s="231"/>
    </row>
    <row r="960">
      <c r="A960" s="231"/>
      <c r="B960" s="231"/>
    </row>
    <row r="961">
      <c r="A961" s="231"/>
      <c r="B961" s="231"/>
    </row>
    <row r="962">
      <c r="A962" s="231"/>
      <c r="B962" s="23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.5"/>
    <col customWidth="1" min="3" max="3" width="17.5"/>
    <col customWidth="1" min="4" max="4" width="3.25"/>
    <col customWidth="1" min="5" max="5" width="14.88"/>
    <col customWidth="1" min="6" max="6" width="16.38"/>
    <col customWidth="1" min="7" max="7" width="20.75"/>
    <col customWidth="1" min="8" max="8" width="18.25"/>
    <col customWidth="1" min="9" max="9" width="18.63"/>
    <col customWidth="1" min="10" max="10" width="19.5"/>
    <col customWidth="1" min="11" max="11" width="15.88"/>
    <col customWidth="1" min="12" max="12" width="67.5"/>
  </cols>
  <sheetData>
    <row r="1">
      <c r="A1" s="232" t="s">
        <v>8</v>
      </c>
      <c r="B1" s="232" t="s">
        <v>9</v>
      </c>
      <c r="C1" s="232" t="s">
        <v>1067</v>
      </c>
      <c r="D1" s="233"/>
      <c r="E1" s="232" t="str">
        <f>IFERROR(__xludf.DUMMYFUNCTION("QUERY(Transaction!A1:J200, ""SELECT A, B, C, D, E, F, G, H WHERE B != 'Monthly Pay' AND B != 'Investment' AND B != 'Reimbursement' ""&amp;IF('Monthly Dashboard'!C2&lt;&gt;""All"", ""AND B = '"" &amp;'Monthly Dashboard'!C2&amp; ""'"", """")&amp;"" AND I = '""&amp;'Monthly Dashboard"&amp;"'!A2&amp;""' AND J = '""&amp;'Monthly Dashboard'!B2&amp;""' ORDER BY A DESC"", 1)"),"Date")</f>
        <v>Date</v>
      </c>
      <c r="F1" s="232" t="str">
        <f>IFERROR(__xludf.DUMMYFUNCTION("""COMPUTED_VALUE"""),"Category")</f>
        <v>Category</v>
      </c>
      <c r="G1" s="232" t="str">
        <f>IFERROR(__xludf.DUMMYFUNCTION("""COMPUTED_VALUE"""),"Sub-Category")</f>
        <v>Sub-Category</v>
      </c>
      <c r="H1" s="232" t="str">
        <f>IFERROR(__xludf.DUMMYFUNCTION("""COMPUTED_VALUE"""),"Amount")</f>
        <v>Amount</v>
      </c>
      <c r="I1" s="232" t="str">
        <f>IFERROR(__xludf.DUMMYFUNCTION("""COMPUTED_VALUE"""),"Pay Medthod")</f>
        <v>Pay Medthod</v>
      </c>
      <c r="J1" s="232" t="str">
        <f>IFERROR(__xludf.DUMMYFUNCTION("""COMPUTED_VALUE"""),"Status")</f>
        <v>Status</v>
      </c>
      <c r="K1" s="232" t="str">
        <f>IFERROR(__xludf.DUMMYFUNCTION("""COMPUTED_VALUE"""),"Shop")</f>
        <v>Shop</v>
      </c>
      <c r="L1" s="232" t="str">
        <f>IFERROR(__xludf.DUMMYFUNCTION("""COMPUTED_VALUE"""),"Note")</f>
        <v>Note</v>
      </c>
    </row>
    <row r="2">
      <c r="A2" s="234" t="str">
        <f t="array" ref="A2:A3">SORT(UNIQUE(Transaction!I2:I200), 1, false)</f>
        <v>_2025_</v>
      </c>
      <c r="B2" s="234" t="str">
        <f t="array" ref="B2:B12">SORT(UNIQUE(Transaction!J2:J200), 1, false)</f>
        <v>_9_</v>
      </c>
      <c r="C2" s="234" t="s">
        <v>614</v>
      </c>
      <c r="D2" s="235"/>
      <c r="E2" s="236">
        <f>IFERROR(__xludf.DUMMYFUNCTION("""COMPUTED_VALUE"""),45960.0)</f>
        <v>45960</v>
      </c>
      <c r="F2" s="237" t="str">
        <f>IFERROR(__xludf.DUMMYFUNCTION("""COMPUTED_VALUE"""),"Food &amp; Drink")</f>
        <v>Food &amp; Drink</v>
      </c>
      <c r="G2" s="237" t="str">
        <f>IFERROR(__xludf.DUMMYFUNCTION("""COMPUTED_VALUE"""),"Main meals")</f>
        <v>Main meals</v>
      </c>
      <c r="H2" s="238">
        <f>IFERROR(__xludf.DUMMYFUNCTION("""COMPUTED_VALUE"""),372.0)</f>
        <v>372</v>
      </c>
      <c r="I2" s="237" t="str">
        <f>IFERROR(__xludf.DUMMYFUNCTION("""COMPUTED_VALUE"""),"UOB One")</f>
        <v>UOB One</v>
      </c>
      <c r="J2" s="237" t="str">
        <f>IFERROR(__xludf.DUMMYFUNCTION("""COMPUTED_VALUE"""),"Credit Spending")</f>
        <v>Credit Spending</v>
      </c>
      <c r="K2" s="237" t="str">
        <f>IFERROR(__xludf.DUMMYFUNCTION("""COMPUTED_VALUE"""),"Pizza")</f>
        <v>Pizza</v>
      </c>
      <c r="L2" s="237"/>
    </row>
    <row r="3">
      <c r="A3" s="234" t="s">
        <v>1068</v>
      </c>
      <c r="B3" s="234" t="s">
        <v>1069</v>
      </c>
      <c r="C3" s="234" t="str">
        <f>IFERROR(__xludf.DUMMYFUNCTION("UNIQUE(QUERY(Transaction!A1:J200, ""SELECT B WHERE B != 'Monthly Pay' AND B != 'Reimbursement' AND B != 'Investment' AND I = '""&amp;'Monthly Dashboard'!A2&amp;""' AND J = '""&amp;'Monthly Dashboard'!B2&amp;""' ORDER BY A DESC"", 0))"),"Food &amp; Drink")</f>
        <v>Food &amp; Drink</v>
      </c>
      <c r="D3" s="235"/>
      <c r="E3" s="236">
        <f>IFERROR(__xludf.DUMMYFUNCTION("""COMPUTED_VALUE"""),45959.0)</f>
        <v>45959</v>
      </c>
      <c r="F3" s="237" t="str">
        <f>IFERROR(__xludf.DUMMYFUNCTION("""COMPUTED_VALUE"""),"Hobby")</f>
        <v>Hobby</v>
      </c>
      <c r="G3" s="237" t="str">
        <f>IFERROR(__xludf.DUMMYFUNCTION("""COMPUTED_VALUE"""),"Education")</f>
        <v>Education</v>
      </c>
      <c r="H3" s="238">
        <f>IFERROR(__xludf.DUMMYFUNCTION("""COMPUTED_VALUE"""),719.0)</f>
        <v>719</v>
      </c>
      <c r="I3" s="237" t="str">
        <f>IFERROR(__xludf.DUMMYFUNCTION("""COMPUTED_VALUE"""),"UOB One")</f>
        <v>UOB One</v>
      </c>
      <c r="J3" s="237" t="str">
        <f>IFERROR(__xludf.DUMMYFUNCTION("""COMPUTED_VALUE"""),"Credit Spending")</f>
        <v>Credit Spending</v>
      </c>
      <c r="K3" s="237"/>
      <c r="L3" s="237"/>
    </row>
    <row r="4">
      <c r="A4" s="239"/>
      <c r="B4" s="239" t="s">
        <v>1070</v>
      </c>
      <c r="C4" s="239" t="str">
        <f>IFERROR(__xludf.DUMMYFUNCTION("""COMPUTED_VALUE"""),"Hobby")</f>
        <v>Hobby</v>
      </c>
      <c r="D4" s="240"/>
      <c r="E4" s="241">
        <f>IFERROR(__xludf.DUMMYFUNCTION("""COMPUTED_VALUE"""),45959.0)</f>
        <v>45959</v>
      </c>
      <c r="F4" s="242" t="str">
        <f>IFERROR(__xludf.DUMMYFUNCTION("""COMPUTED_VALUE"""),"Food &amp; Drink")</f>
        <v>Food &amp; Drink</v>
      </c>
      <c r="G4" s="242" t="str">
        <f>IFERROR(__xludf.DUMMYFUNCTION("""COMPUTED_VALUE"""),"Main meals")</f>
        <v>Main meals</v>
      </c>
      <c r="H4" s="243">
        <f>IFERROR(__xludf.DUMMYFUNCTION("""COMPUTED_VALUE"""),50.0)</f>
        <v>50</v>
      </c>
      <c r="I4" s="242" t="str">
        <f>IFERROR(__xludf.DUMMYFUNCTION("""COMPUTED_VALUE"""),"Mobile Banking")</f>
        <v>Mobile Banking</v>
      </c>
      <c r="J4" s="242"/>
      <c r="K4" s="242" t="str">
        <f>IFERROR(__xludf.DUMMYFUNCTION("""COMPUTED_VALUE"""),"Hainanese chicken rice")</f>
        <v>Hainanese chicken rice</v>
      </c>
      <c r="L4" s="242"/>
    </row>
    <row r="5">
      <c r="A5" s="239"/>
      <c r="B5" s="239" t="s">
        <v>1071</v>
      </c>
      <c r="C5" s="239" t="str">
        <f>IFERROR(__xludf.DUMMYFUNCTION("""COMPUTED_VALUE"""),"Transportation")</f>
        <v>Transportation</v>
      </c>
      <c r="D5" s="240"/>
      <c r="E5" s="241">
        <f>IFERROR(__xludf.DUMMYFUNCTION("""COMPUTED_VALUE"""),45959.0)</f>
        <v>45959</v>
      </c>
      <c r="F5" s="242" t="str">
        <f>IFERROR(__xludf.DUMMYFUNCTION("""COMPUTED_VALUE"""),"Food &amp; Drink")</f>
        <v>Food &amp; Drink</v>
      </c>
      <c r="G5" s="242" t="str">
        <f>IFERROR(__xludf.DUMMYFUNCTION("""COMPUTED_VALUE"""),"Snacks")</f>
        <v>Snacks</v>
      </c>
      <c r="H5" s="243">
        <f>IFERROR(__xludf.DUMMYFUNCTION("""COMPUTED_VALUE"""),36.0)</f>
        <v>36</v>
      </c>
      <c r="I5" s="242" t="str">
        <f>IFERROR(__xludf.DUMMYFUNCTION("""COMPUTED_VALUE"""),"Mobile Banking")</f>
        <v>Mobile Banking</v>
      </c>
      <c r="J5" s="242"/>
      <c r="K5" s="242" t="str">
        <f>IFERROR(__xludf.DUMMYFUNCTION("""COMPUTED_VALUE"""),"CJ")</f>
        <v>CJ</v>
      </c>
      <c r="L5" s="242"/>
    </row>
    <row r="6">
      <c r="A6" s="239"/>
      <c r="B6" s="239" t="s">
        <v>1072</v>
      </c>
      <c r="C6" s="239" t="str">
        <f>IFERROR(__xludf.DUMMYFUNCTION("""COMPUTED_VALUE"""),"Others")</f>
        <v>Others</v>
      </c>
      <c r="D6" s="240"/>
      <c r="E6" s="241">
        <f>IFERROR(__xludf.DUMMYFUNCTION("""COMPUTED_VALUE"""),45957.0)</f>
        <v>45957</v>
      </c>
      <c r="F6" s="242" t="str">
        <f>IFERROR(__xludf.DUMMYFUNCTION("""COMPUTED_VALUE"""),"Transportation")</f>
        <v>Transportation</v>
      </c>
      <c r="G6" s="242" t="str">
        <f>IFERROR(__xludf.DUMMYFUNCTION("""COMPUTED_VALUE"""),"Maintenance")</f>
        <v>Maintenance</v>
      </c>
      <c r="H6" s="243">
        <f>IFERROR(__xludf.DUMMYFUNCTION("""COMPUTED_VALUE"""),1883.2)</f>
        <v>1883.2</v>
      </c>
      <c r="I6" s="242" t="str">
        <f>IFERROR(__xludf.DUMMYFUNCTION("""COMPUTED_VALUE"""),"Mobile Banking")</f>
        <v>Mobile Banking</v>
      </c>
      <c r="J6" s="242" t="str">
        <f>IFERROR(__xludf.DUMMYFUNCTION("""COMPUTED_VALUE"""),"Credit Spending")</f>
        <v>Credit Spending</v>
      </c>
      <c r="K6" s="242"/>
      <c r="L6" s="242" t="str">
        <f>IFERROR(__xludf.DUMMYFUNCTION("""COMPUTED_VALUE"""),"เข้าเช็คระยะ 63,000 km")</f>
        <v>เข้าเช็คระยะ 63,000 km</v>
      </c>
    </row>
    <row r="7">
      <c r="A7" s="239"/>
      <c r="B7" s="239" t="s">
        <v>1073</v>
      </c>
      <c r="C7" s="239" t="str">
        <f>IFERROR(__xludf.DUMMYFUNCTION("""COMPUTED_VALUE"""),"Items")</f>
        <v>Items</v>
      </c>
      <c r="D7" s="240"/>
      <c r="E7" s="241">
        <f>IFERROR(__xludf.DUMMYFUNCTION("""COMPUTED_VALUE"""),45957.0)</f>
        <v>45957</v>
      </c>
      <c r="F7" s="242" t="str">
        <f>IFERROR(__xludf.DUMMYFUNCTION("""COMPUTED_VALUE"""),"Transportation")</f>
        <v>Transportation</v>
      </c>
      <c r="G7" s="242" t="str">
        <f>IFERROR(__xludf.DUMMYFUNCTION("""COMPUTED_VALUE"""),"Fee")</f>
        <v>Fee</v>
      </c>
      <c r="H7" s="243">
        <f>IFERROR(__xludf.DUMMYFUNCTION("""COMPUTED_VALUE"""),50.0)</f>
        <v>50</v>
      </c>
      <c r="I7" s="242" t="str">
        <f>IFERROR(__xludf.DUMMYFUNCTION("""COMPUTED_VALUE"""),"Mobile Banking")</f>
        <v>Mobile Banking</v>
      </c>
      <c r="J7" s="242"/>
      <c r="K7" s="242"/>
      <c r="L7" s="242" t="str">
        <f>IFERROR(__xludf.DUMMYFUNCTION("""COMPUTED_VALUE"""),"ค่าจอดรถสนามบินส่งมิ้น")</f>
        <v>ค่าจอดรถสนามบินส่งมิ้น</v>
      </c>
    </row>
    <row r="8">
      <c r="A8" s="239"/>
      <c r="B8" s="239" t="s">
        <v>1074</v>
      </c>
      <c r="C8" s="239" t="str">
        <f>IFERROR(__xludf.DUMMYFUNCTION("""COMPUTED_VALUE"""),"Service")</f>
        <v>Service</v>
      </c>
      <c r="D8" s="240"/>
      <c r="E8" s="241">
        <f>IFERROR(__xludf.DUMMYFUNCTION("""COMPUTED_VALUE"""),45957.0)</f>
        <v>45957</v>
      </c>
      <c r="F8" s="242" t="str">
        <f>IFERROR(__xludf.DUMMYFUNCTION("""COMPUTED_VALUE"""),"Food &amp; Drink")</f>
        <v>Food &amp; Drink</v>
      </c>
      <c r="G8" s="242" t="str">
        <f>IFERROR(__xludf.DUMMYFUNCTION("""COMPUTED_VALUE"""),"Snacks")</f>
        <v>Snacks</v>
      </c>
      <c r="H8" s="243">
        <f>IFERROR(__xludf.DUMMYFUNCTION("""COMPUTED_VALUE"""),204.0)</f>
        <v>204</v>
      </c>
      <c r="I8" s="242" t="str">
        <f>IFERROR(__xludf.DUMMYFUNCTION("""COMPUTED_VALUE"""),"Mobile Banking")</f>
        <v>Mobile Banking</v>
      </c>
      <c r="J8" s="242"/>
      <c r="K8" s="242" t="str">
        <f>IFERROR(__xludf.DUMMYFUNCTION("""COMPUTED_VALUE"""),"7-Eleven")</f>
        <v>7-Eleven</v>
      </c>
      <c r="L8" s="242" t="str">
        <f>IFERROR(__xludf.DUMMYFUNCTION("""COMPUTED_VALUE"""),"ตั้งแต่วันที่ 27-29")</f>
        <v>ตั้งแต่วันที่ 27-29</v>
      </c>
    </row>
    <row r="9">
      <c r="A9" s="239"/>
      <c r="B9" s="239" t="s">
        <v>1075</v>
      </c>
      <c r="C9" s="239" t="str">
        <f>IFERROR(__xludf.DUMMYFUNCTION("""COMPUTED_VALUE"""),"Residence")</f>
        <v>Residence</v>
      </c>
      <c r="D9" s="240"/>
      <c r="E9" s="241">
        <f>IFERROR(__xludf.DUMMYFUNCTION("""COMPUTED_VALUE"""),45956.0)</f>
        <v>45956</v>
      </c>
      <c r="F9" s="242" t="str">
        <f>IFERROR(__xludf.DUMMYFUNCTION("""COMPUTED_VALUE"""),"Others")</f>
        <v>Others</v>
      </c>
      <c r="G9" s="242" t="str">
        <f>IFERROR(__xludf.DUMMYFUNCTION("""COMPUTED_VALUE"""),"Others")</f>
        <v>Others</v>
      </c>
      <c r="H9" s="243">
        <f>IFERROR(__xludf.DUMMYFUNCTION("""COMPUTED_VALUE"""),27.0)</f>
        <v>27</v>
      </c>
      <c r="I9" s="242" t="str">
        <f>IFERROR(__xludf.DUMMYFUNCTION("""COMPUTED_VALUE"""),"Mobile Banking")</f>
        <v>Mobile Banking</v>
      </c>
      <c r="J9" s="242"/>
      <c r="K9" s="242"/>
      <c r="L9" s="242" t="str">
        <f>IFERROR(__xludf.DUMMYFUNCTION("""COMPUTED_VALUE"""),"ค่าส่งหูฟัง soundcore")</f>
        <v>ค่าส่งหูฟัง soundcore</v>
      </c>
    </row>
    <row r="10">
      <c r="A10" s="234"/>
      <c r="B10" s="234" t="s">
        <v>613</v>
      </c>
      <c r="C10" s="234" t="str">
        <f>IFERROR(__xludf.DUMMYFUNCTION("""COMPUTED_VALUE"""),"Health")</f>
        <v>Health</v>
      </c>
      <c r="D10" s="235"/>
      <c r="E10" s="236">
        <f>IFERROR(__xludf.DUMMYFUNCTION("""COMPUTED_VALUE"""),45956.0)</f>
        <v>45956</v>
      </c>
      <c r="F10" s="237" t="str">
        <f>IFERROR(__xludf.DUMMYFUNCTION("""COMPUTED_VALUE"""),"Food &amp; Drink")</f>
        <v>Food &amp; Drink</v>
      </c>
      <c r="G10" s="237" t="str">
        <f>IFERROR(__xludf.DUMMYFUNCTION("""COMPUTED_VALUE"""),"Main meals")</f>
        <v>Main meals</v>
      </c>
      <c r="H10" s="238">
        <f>IFERROR(__xludf.DUMMYFUNCTION("""COMPUTED_VALUE"""),85.0)</f>
        <v>85</v>
      </c>
      <c r="I10" s="237" t="str">
        <f>IFERROR(__xludf.DUMMYFUNCTION("""COMPUTED_VALUE"""),"Mobile Banking")</f>
        <v>Mobile Banking</v>
      </c>
      <c r="J10" s="237"/>
      <c r="K10" s="237" t="str">
        <f>IFERROR(__xludf.DUMMYFUNCTION("""COMPUTED_VALUE"""),"Noodle")</f>
        <v>Noodle</v>
      </c>
      <c r="L10" s="237"/>
    </row>
    <row r="11">
      <c r="A11" s="239"/>
      <c r="B11" s="239" t="s">
        <v>1076</v>
      </c>
      <c r="C11" s="239"/>
      <c r="D11" s="240"/>
      <c r="E11" s="241">
        <f>IFERROR(__xludf.DUMMYFUNCTION("""COMPUTED_VALUE"""),45956.0)</f>
        <v>45956</v>
      </c>
      <c r="F11" s="242" t="str">
        <f>IFERROR(__xludf.DUMMYFUNCTION("""COMPUTED_VALUE"""),"Food &amp; Drink")</f>
        <v>Food &amp; Drink</v>
      </c>
      <c r="G11" s="242" t="str">
        <f>IFERROR(__xludf.DUMMYFUNCTION("""COMPUTED_VALUE"""),"Drinks")</f>
        <v>Drinks</v>
      </c>
      <c r="H11" s="243">
        <f>IFERROR(__xludf.DUMMYFUNCTION("""COMPUTED_VALUE"""),40.0)</f>
        <v>40</v>
      </c>
      <c r="I11" s="242" t="str">
        <f>IFERROR(__xludf.DUMMYFUNCTION("""COMPUTED_VALUE"""),"Mobile Banking")</f>
        <v>Mobile Banking</v>
      </c>
      <c r="J11" s="242"/>
      <c r="K11" s="242" t="str">
        <f>IFERROR(__xludf.DUMMYFUNCTION("""COMPUTED_VALUE"""),"CJ")</f>
        <v>CJ</v>
      </c>
      <c r="L11" s="242" t="str">
        <f>IFERROR(__xludf.DUMMYFUNCTION("""COMPUTED_VALUE"""),"ชาไทย")</f>
        <v>ชาไทย</v>
      </c>
    </row>
    <row r="12">
      <c r="A12" s="239"/>
      <c r="B12" s="239" t="s">
        <v>1068</v>
      </c>
      <c r="C12" s="239"/>
      <c r="D12" s="240"/>
      <c r="E12" s="241">
        <f>IFERROR(__xludf.DUMMYFUNCTION("""COMPUTED_VALUE"""),45956.0)</f>
        <v>45956</v>
      </c>
      <c r="F12" s="242" t="str">
        <f>IFERROR(__xludf.DUMMYFUNCTION("""COMPUTED_VALUE"""),"Food &amp; Drink")</f>
        <v>Food &amp; Drink</v>
      </c>
      <c r="G12" s="242" t="str">
        <f>IFERROR(__xludf.DUMMYFUNCTION("""COMPUTED_VALUE"""),"Groceries")</f>
        <v>Groceries</v>
      </c>
      <c r="H12" s="243">
        <f>IFERROR(__xludf.DUMMYFUNCTION("""COMPUTED_VALUE"""),120.0)</f>
        <v>120</v>
      </c>
      <c r="I12" s="242" t="str">
        <f>IFERROR(__xludf.DUMMYFUNCTION("""COMPUTED_VALUE"""),"Mobile Banking")</f>
        <v>Mobile Banking</v>
      </c>
      <c r="J12" s="242"/>
      <c r="K12" s="242"/>
      <c r="L12" s="242" t="str">
        <f>IFERROR(__xludf.DUMMYFUNCTION("""COMPUTED_VALUE"""),"ผัก")</f>
        <v>ผัก</v>
      </c>
    </row>
    <row r="13">
      <c r="A13" s="239"/>
      <c r="B13" s="239"/>
      <c r="C13" s="239"/>
      <c r="D13" s="240"/>
      <c r="E13" s="241">
        <f>IFERROR(__xludf.DUMMYFUNCTION("""COMPUTED_VALUE"""),45956.0)</f>
        <v>45956</v>
      </c>
      <c r="F13" s="242" t="str">
        <f>IFERROR(__xludf.DUMMYFUNCTION("""COMPUTED_VALUE"""),"Transportation")</f>
        <v>Transportation</v>
      </c>
      <c r="G13" s="242" t="str">
        <f>IFERROR(__xludf.DUMMYFUNCTION("""COMPUTED_VALUE"""),"Maintenance")</f>
        <v>Maintenance</v>
      </c>
      <c r="H13" s="243">
        <f>IFERROR(__xludf.DUMMYFUNCTION("""COMPUTED_VALUE"""),1000.0)</f>
        <v>1000</v>
      </c>
      <c r="I13" s="242" t="str">
        <f>IFERROR(__xludf.DUMMYFUNCTION("""COMPUTED_VALUE"""),"Mobile Banking")</f>
        <v>Mobile Banking</v>
      </c>
      <c r="J13" s="242" t="str">
        <f>IFERROR(__xludf.DUMMYFUNCTION("""COMPUTED_VALUE"""),"Credit Spending")</f>
        <v>Credit Spending</v>
      </c>
      <c r="K13" s="242"/>
      <c r="L13" s="242" t="str">
        <f>IFERROR(__xludf.DUMMYFUNCTION("""COMPUTED_VALUE"""),"เปลี่ยนคิ้วรถ")</f>
        <v>เปลี่ยนคิ้วรถ</v>
      </c>
    </row>
    <row r="14">
      <c r="A14" s="239"/>
      <c r="B14" s="239"/>
      <c r="C14" s="239"/>
      <c r="D14" s="240"/>
      <c r="E14" s="241">
        <f>IFERROR(__xludf.DUMMYFUNCTION("""COMPUTED_VALUE"""),45955.0)</f>
        <v>45955</v>
      </c>
      <c r="F14" s="242" t="str">
        <f>IFERROR(__xludf.DUMMYFUNCTION("""COMPUTED_VALUE"""),"Food &amp; Drink")</f>
        <v>Food &amp; Drink</v>
      </c>
      <c r="G14" s="242" t="str">
        <f>IFERROR(__xludf.DUMMYFUNCTION("""COMPUTED_VALUE"""),"Main meals")</f>
        <v>Main meals</v>
      </c>
      <c r="H14" s="243">
        <f>IFERROR(__xludf.DUMMYFUNCTION("""COMPUTED_VALUE"""),80.0)</f>
        <v>80</v>
      </c>
      <c r="I14" s="242" t="str">
        <f>IFERROR(__xludf.DUMMYFUNCTION("""COMPUTED_VALUE"""),"Mobile Banking")</f>
        <v>Mobile Banking</v>
      </c>
      <c r="J14" s="242"/>
      <c r="K14" s="242"/>
      <c r="L14" s="242" t="str">
        <f>IFERROR(__xludf.DUMMYFUNCTION("""COMPUTED_VALUE"""),"กะเพรา")</f>
        <v>กะเพรา</v>
      </c>
    </row>
    <row r="15">
      <c r="A15" s="239"/>
      <c r="B15" s="239"/>
      <c r="C15" s="239"/>
      <c r="D15" s="240"/>
      <c r="E15" s="241">
        <f>IFERROR(__xludf.DUMMYFUNCTION("""COMPUTED_VALUE"""),45955.0)</f>
        <v>45955</v>
      </c>
      <c r="F15" s="242" t="str">
        <f>IFERROR(__xludf.DUMMYFUNCTION("""COMPUTED_VALUE"""),"Food &amp; Drink")</f>
        <v>Food &amp; Drink</v>
      </c>
      <c r="G15" s="242" t="str">
        <f>IFERROR(__xludf.DUMMYFUNCTION("""COMPUTED_VALUE"""),"Groceries")</f>
        <v>Groceries</v>
      </c>
      <c r="H15" s="243">
        <f>IFERROR(__xludf.DUMMYFUNCTION("""COMPUTED_VALUE"""),162.0)</f>
        <v>162</v>
      </c>
      <c r="I15" s="242" t="str">
        <f>IFERROR(__xludf.DUMMYFUNCTION("""COMPUTED_VALUE"""),"Mobile Banking")</f>
        <v>Mobile Banking</v>
      </c>
      <c r="J15" s="242"/>
      <c r="K15" s="242"/>
      <c r="L15" s="242" t="str">
        <f>IFERROR(__xludf.DUMMYFUNCTION("""COMPUTED_VALUE"""),"ผัก")</f>
        <v>ผัก</v>
      </c>
    </row>
    <row r="16">
      <c r="A16" s="239"/>
      <c r="B16" s="239"/>
      <c r="C16" s="239"/>
      <c r="D16" s="240"/>
      <c r="E16" s="241">
        <f>IFERROR(__xludf.DUMMYFUNCTION("""COMPUTED_VALUE"""),45955.0)</f>
        <v>45955</v>
      </c>
      <c r="F16" s="242" t="str">
        <f>IFERROR(__xludf.DUMMYFUNCTION("""COMPUTED_VALUE"""),"Food &amp; Drink")</f>
        <v>Food &amp; Drink</v>
      </c>
      <c r="G16" s="242" t="str">
        <f>IFERROR(__xludf.DUMMYFUNCTION("""COMPUTED_VALUE"""),"Drinks")</f>
        <v>Drinks</v>
      </c>
      <c r="H16" s="243">
        <f>IFERROR(__xludf.DUMMYFUNCTION("""COMPUTED_VALUE"""),40.0)</f>
        <v>40</v>
      </c>
      <c r="I16" s="242" t="str">
        <f>IFERROR(__xludf.DUMMYFUNCTION("""COMPUTED_VALUE"""),"Mobile Banking")</f>
        <v>Mobile Banking</v>
      </c>
      <c r="J16" s="242"/>
      <c r="K16" s="242" t="str">
        <f>IFERROR(__xludf.DUMMYFUNCTION("""COMPUTED_VALUE"""),"CJ")</f>
        <v>CJ</v>
      </c>
      <c r="L16" s="242" t="str">
        <f>IFERROR(__xludf.DUMMYFUNCTION("""COMPUTED_VALUE"""),"ชาไทย")</f>
        <v>ชาไทย</v>
      </c>
    </row>
    <row r="17">
      <c r="A17" s="239"/>
      <c r="B17" s="239"/>
      <c r="C17" s="239"/>
      <c r="D17" s="240"/>
      <c r="E17" s="241">
        <f>IFERROR(__xludf.DUMMYFUNCTION("""COMPUTED_VALUE"""),45955.0)</f>
        <v>45955</v>
      </c>
      <c r="F17" s="242" t="str">
        <f>IFERROR(__xludf.DUMMYFUNCTION("""COMPUTED_VALUE"""),"Items")</f>
        <v>Items</v>
      </c>
      <c r="G17" s="242" t="str">
        <f>IFERROR(__xludf.DUMMYFUNCTION("""COMPUTED_VALUE"""),"Household Items")</f>
        <v>Household Items</v>
      </c>
      <c r="H17" s="243">
        <f>IFERROR(__xludf.DUMMYFUNCTION("""COMPUTED_VALUE"""),142.0)</f>
        <v>142</v>
      </c>
      <c r="I17" s="242" t="str">
        <f>IFERROR(__xludf.DUMMYFUNCTION("""COMPUTED_VALUE"""),"TTB So Smart")</f>
        <v>TTB So Smart</v>
      </c>
      <c r="J17" s="242" t="str">
        <f>IFERROR(__xludf.DUMMYFUNCTION("""COMPUTED_VALUE"""),"Credit Spending")</f>
        <v>Credit Spending</v>
      </c>
      <c r="K17" s="242" t="str">
        <f>IFERROR(__xludf.DUMMYFUNCTION("""COMPUTED_VALUE"""),"Lotus")</f>
        <v>Lotus</v>
      </c>
      <c r="L17" s="242" t="str">
        <f>IFERROR(__xludf.DUMMYFUNCTION("""COMPUTED_VALUE"""),"สำลี ครีมอาบน้ำไ")</f>
        <v>สำลี ครีมอาบน้ำไ</v>
      </c>
    </row>
    <row r="18">
      <c r="A18" s="239"/>
      <c r="B18" s="239"/>
      <c r="C18" s="239"/>
      <c r="D18" s="240"/>
      <c r="E18" s="241">
        <f>IFERROR(__xludf.DUMMYFUNCTION("""COMPUTED_VALUE"""),45955.0)</f>
        <v>45955</v>
      </c>
      <c r="F18" s="242" t="str">
        <f>IFERROR(__xludf.DUMMYFUNCTION("""COMPUTED_VALUE"""),"Food &amp; Drink")</f>
        <v>Food &amp; Drink</v>
      </c>
      <c r="G18" s="242" t="str">
        <f>IFERROR(__xludf.DUMMYFUNCTION("""COMPUTED_VALUE"""),"Groceries")</f>
        <v>Groceries</v>
      </c>
      <c r="H18" s="243">
        <f>IFERROR(__xludf.DUMMYFUNCTION("""COMPUTED_VALUE"""),381.25)</f>
        <v>381.25</v>
      </c>
      <c r="I18" s="242" t="str">
        <f>IFERROR(__xludf.DUMMYFUNCTION("""COMPUTED_VALUE"""),"TTB So Smart")</f>
        <v>TTB So Smart</v>
      </c>
      <c r="J18" s="242" t="str">
        <f>IFERROR(__xludf.DUMMYFUNCTION("""COMPUTED_VALUE"""),"Credit Spending")</f>
        <v>Credit Spending</v>
      </c>
      <c r="K18" s="242" t="str">
        <f>IFERROR(__xludf.DUMMYFUNCTION("""COMPUTED_VALUE"""),"Lotus")</f>
        <v>Lotus</v>
      </c>
      <c r="L18" s="242"/>
    </row>
    <row r="19">
      <c r="A19" s="239"/>
      <c r="B19" s="239"/>
      <c r="C19" s="239"/>
      <c r="D19" s="240"/>
      <c r="E19" s="241">
        <f>IFERROR(__xludf.DUMMYFUNCTION("""COMPUTED_VALUE"""),45954.0)</f>
        <v>45954</v>
      </c>
      <c r="F19" s="242" t="str">
        <f>IFERROR(__xludf.DUMMYFUNCTION("""COMPUTED_VALUE"""),"Others")</f>
        <v>Others</v>
      </c>
      <c r="G19" s="242" t="str">
        <f>IFERROR(__xludf.DUMMYFUNCTION("""COMPUTED_VALUE"""),"Debt")</f>
        <v>Debt</v>
      </c>
      <c r="H19" s="243">
        <f>IFERROR(__xludf.DUMMYFUNCTION("""COMPUTED_VALUE"""),8521.0)</f>
        <v>8521</v>
      </c>
      <c r="I19" s="242" t="str">
        <f>IFERROR(__xludf.DUMMYFUNCTION("""COMPUTED_VALUE"""),"Mobile Banking")</f>
        <v>Mobile Banking</v>
      </c>
      <c r="J19" s="242"/>
      <c r="K19" s="242"/>
      <c r="L19" s="242" t="str">
        <f>IFERROR(__xludf.DUMMYFUNCTION("""COMPUTED_VALUE"""),"ค่ารถงวด 39")</f>
        <v>ค่ารถงวด 39</v>
      </c>
    </row>
    <row r="20">
      <c r="A20" s="239"/>
      <c r="B20" s="239"/>
      <c r="C20" s="239"/>
      <c r="D20" s="240"/>
      <c r="E20" s="241">
        <f>IFERROR(__xludf.DUMMYFUNCTION("""COMPUTED_VALUE"""),45954.0)</f>
        <v>45954</v>
      </c>
      <c r="F20" s="242" t="str">
        <f>IFERROR(__xludf.DUMMYFUNCTION("""COMPUTED_VALUE"""),"Others")</f>
        <v>Others</v>
      </c>
      <c r="G20" s="242" t="str">
        <f>IFERROR(__xludf.DUMMYFUNCTION("""COMPUTED_VALUE"""),"Devidend")</f>
        <v>Devidend</v>
      </c>
      <c r="H20" s="243">
        <f>IFERROR(__xludf.DUMMYFUNCTION("""COMPUTED_VALUE"""),2000.0)</f>
        <v>2000</v>
      </c>
      <c r="I20" s="242" t="str">
        <f>IFERROR(__xludf.DUMMYFUNCTION("""COMPUTED_VALUE"""),"Mobile Banking")</f>
        <v>Mobile Banking</v>
      </c>
      <c r="J20" s="242"/>
      <c r="K20" s="242" t="str">
        <f>IFERROR(__xludf.DUMMYFUNCTION("""COMPUTED_VALUE"""),"Studentloan Debt")</f>
        <v>Studentloan Debt</v>
      </c>
      <c r="L20" s="242" t="str">
        <f>IFERROR(__xludf.DUMMYFUNCTION("""COMPUTED_VALUE"""),"กยศ")</f>
        <v>กยศ</v>
      </c>
    </row>
    <row r="21">
      <c r="A21" s="239"/>
      <c r="B21" s="239"/>
      <c r="C21" s="239"/>
      <c r="D21" s="240"/>
      <c r="E21" s="241">
        <f>IFERROR(__xludf.DUMMYFUNCTION("""COMPUTED_VALUE"""),45954.0)</f>
        <v>45954</v>
      </c>
      <c r="F21" s="242" t="str">
        <f>IFERROR(__xludf.DUMMYFUNCTION("""COMPUTED_VALUE"""),"Service")</f>
        <v>Service</v>
      </c>
      <c r="G21" s="242" t="str">
        <f>IFERROR(__xludf.DUMMYFUNCTION("""COMPUTED_VALUE"""),"Home Internet")</f>
        <v>Home Internet</v>
      </c>
      <c r="H21" s="243">
        <f>IFERROR(__xludf.DUMMYFUNCTION("""COMPUTED_VALUE"""),650.0)</f>
        <v>650</v>
      </c>
      <c r="I21" s="242" t="str">
        <f>IFERROR(__xludf.DUMMYFUNCTION("""COMPUTED_VALUE"""),"Mobile Banking")</f>
        <v>Mobile Banking</v>
      </c>
      <c r="J21" s="242"/>
      <c r="K21" s="242"/>
      <c r="L21" s="242" t="str">
        <f>IFERROR(__xludf.DUMMYFUNCTION("""COMPUTED_VALUE"""),"เน็ตบ้าน")</f>
        <v>เน็ตบ้าน</v>
      </c>
    </row>
    <row r="22">
      <c r="A22" s="239"/>
      <c r="B22" s="239"/>
      <c r="C22" s="239"/>
      <c r="D22" s="240"/>
      <c r="E22" s="241">
        <f>IFERROR(__xludf.DUMMYFUNCTION("""COMPUTED_VALUE"""),45954.0)</f>
        <v>45954</v>
      </c>
      <c r="F22" s="242" t="str">
        <f>IFERROR(__xludf.DUMMYFUNCTION("""COMPUTED_VALUE"""),"Service")</f>
        <v>Service</v>
      </c>
      <c r="G22" s="242" t="str">
        <f>IFERROR(__xludf.DUMMYFUNCTION("""COMPUTED_VALUE"""),"Mobile Internet")</f>
        <v>Mobile Internet</v>
      </c>
      <c r="H22" s="243">
        <f>IFERROR(__xludf.DUMMYFUNCTION("""COMPUTED_VALUE"""),450.0)</f>
        <v>450</v>
      </c>
      <c r="I22" s="242" t="str">
        <f>IFERROR(__xludf.DUMMYFUNCTION("""COMPUTED_VALUE"""),"Mobile Banking")</f>
        <v>Mobile Banking</v>
      </c>
      <c r="J22" s="242"/>
      <c r="K22" s="242"/>
      <c r="L22" s="242" t="str">
        <f>IFERROR(__xludf.DUMMYFUNCTION("""COMPUTED_VALUE"""),"เน็็ตมือถือ")</f>
        <v>เน็็ตมือถือ</v>
      </c>
    </row>
    <row r="23">
      <c r="A23" s="239"/>
      <c r="B23" s="239"/>
      <c r="C23" s="239"/>
      <c r="D23" s="240"/>
      <c r="E23" s="241">
        <f>IFERROR(__xludf.DUMMYFUNCTION("""COMPUTED_VALUE"""),45954.0)</f>
        <v>45954</v>
      </c>
      <c r="F23" s="242" t="str">
        <f>IFERROR(__xludf.DUMMYFUNCTION("""COMPUTED_VALUE"""),"Food &amp; Drink")</f>
        <v>Food &amp; Drink</v>
      </c>
      <c r="G23" s="242" t="str">
        <f>IFERROR(__xludf.DUMMYFUNCTION("""COMPUTED_VALUE"""),"Main meals")</f>
        <v>Main meals</v>
      </c>
      <c r="H23" s="243">
        <f>IFERROR(__xludf.DUMMYFUNCTION("""COMPUTED_VALUE"""),80.0)</f>
        <v>80</v>
      </c>
      <c r="I23" s="242" t="str">
        <f>IFERROR(__xludf.DUMMYFUNCTION("""COMPUTED_VALUE"""),"Mobile Banking")</f>
        <v>Mobile Banking</v>
      </c>
      <c r="J23" s="242"/>
      <c r="K23" s="242"/>
      <c r="L23" s="242" t="str">
        <f>IFERROR(__xludf.DUMMYFUNCTION("""COMPUTED_VALUE"""),"ข้าวมันไก่, ลูกชิ้น")</f>
        <v>ข้าวมันไก่, ลูกชิ้น</v>
      </c>
    </row>
    <row r="24">
      <c r="A24" s="239"/>
      <c r="B24" s="239"/>
      <c r="C24" s="239"/>
      <c r="D24" s="240"/>
      <c r="E24" s="241">
        <f>IFERROR(__xludf.DUMMYFUNCTION("""COMPUTED_VALUE"""),45954.0)</f>
        <v>45954</v>
      </c>
      <c r="F24" s="242" t="str">
        <f>IFERROR(__xludf.DUMMYFUNCTION("""COMPUTED_VALUE"""),"Food &amp; Drink")</f>
        <v>Food &amp; Drink</v>
      </c>
      <c r="G24" s="242" t="str">
        <f>IFERROR(__xludf.DUMMYFUNCTION("""COMPUTED_VALUE"""),"Main meals")</f>
        <v>Main meals</v>
      </c>
      <c r="H24" s="243">
        <f>IFERROR(__xludf.DUMMYFUNCTION("""COMPUTED_VALUE"""),190.0)</f>
        <v>190</v>
      </c>
      <c r="I24" s="242" t="str">
        <f>IFERROR(__xludf.DUMMYFUNCTION("""COMPUTED_VALUE"""),"UOB One")</f>
        <v>UOB One</v>
      </c>
      <c r="J24" s="242" t="str">
        <f>IFERROR(__xludf.DUMMYFUNCTION("""COMPUTED_VALUE"""),"Credit Spending")</f>
        <v>Credit Spending</v>
      </c>
      <c r="K24" s="242" t="str">
        <f>IFERROR(__xludf.DUMMYFUNCTION("""COMPUTED_VALUE"""),"Bonchon")</f>
        <v>Bonchon</v>
      </c>
      <c r="L24" s="242"/>
    </row>
    <row r="25">
      <c r="A25" s="239"/>
      <c r="B25" s="239"/>
      <c r="C25" s="239"/>
      <c r="D25" s="240"/>
      <c r="E25" s="241">
        <f>IFERROR(__xludf.DUMMYFUNCTION("""COMPUTED_VALUE"""),45953.0)</f>
        <v>45953</v>
      </c>
      <c r="F25" s="242" t="str">
        <f>IFERROR(__xludf.DUMMYFUNCTION("""COMPUTED_VALUE"""),"Food &amp; Drink")</f>
        <v>Food &amp; Drink</v>
      </c>
      <c r="G25" s="242" t="str">
        <f>IFERROR(__xludf.DUMMYFUNCTION("""COMPUTED_VALUE"""),"Snacks")</f>
        <v>Snacks</v>
      </c>
      <c r="H25" s="243">
        <f>IFERROR(__xludf.DUMMYFUNCTION("""COMPUTED_VALUE"""),37.0)</f>
        <v>37</v>
      </c>
      <c r="I25" s="242" t="str">
        <f>IFERROR(__xludf.DUMMYFUNCTION("""COMPUTED_VALUE"""),"Mobile Banking")</f>
        <v>Mobile Banking</v>
      </c>
      <c r="J25" s="242"/>
      <c r="K25" s="242"/>
      <c r="L25" s="242" t="str">
        <f>IFERROR(__xludf.DUMMYFUNCTION("""COMPUTED_VALUE"""),"โตเกียว")</f>
        <v>โตเกียว</v>
      </c>
    </row>
    <row r="26">
      <c r="A26" s="239"/>
      <c r="B26" s="239"/>
      <c r="C26" s="239"/>
      <c r="D26" s="240"/>
      <c r="E26" s="241">
        <f>IFERROR(__xludf.DUMMYFUNCTION("""COMPUTED_VALUE"""),45952.0)</f>
        <v>45952</v>
      </c>
      <c r="F26" s="242" t="str">
        <f>IFERROR(__xludf.DUMMYFUNCTION("""COMPUTED_VALUE"""),"Food &amp; Drink")</f>
        <v>Food &amp; Drink</v>
      </c>
      <c r="G26" s="242" t="str">
        <f>IFERROR(__xludf.DUMMYFUNCTION("""COMPUTED_VALUE"""),"Main meals")</f>
        <v>Main meals</v>
      </c>
      <c r="H26" s="243">
        <f>IFERROR(__xludf.DUMMYFUNCTION("""COMPUTED_VALUE"""),153.0)</f>
        <v>153</v>
      </c>
      <c r="I26" s="242" t="str">
        <f>IFERROR(__xludf.DUMMYFUNCTION("""COMPUTED_VALUE"""),"UOB One")</f>
        <v>UOB One</v>
      </c>
      <c r="J26" s="242" t="str">
        <f>IFERROR(__xludf.DUMMYFUNCTION("""COMPUTED_VALUE"""),"Credit Spending")</f>
        <v>Credit Spending</v>
      </c>
      <c r="K26" s="242" t="str">
        <f>IFERROR(__xludf.DUMMYFUNCTION("""COMPUTED_VALUE"""),"KFC")</f>
        <v>KFC</v>
      </c>
      <c r="L26" s="242"/>
    </row>
    <row r="27">
      <c r="A27" s="239"/>
      <c r="B27" s="239"/>
      <c r="C27" s="239"/>
      <c r="D27" s="240"/>
      <c r="E27" s="241">
        <f>IFERROR(__xludf.DUMMYFUNCTION("""COMPUTED_VALUE"""),45952.0)</f>
        <v>45952</v>
      </c>
      <c r="F27" s="242" t="str">
        <f>IFERROR(__xludf.DUMMYFUNCTION("""COMPUTED_VALUE"""),"Others")</f>
        <v>Others</v>
      </c>
      <c r="G27" s="242" t="str">
        <f>IFERROR(__xludf.DUMMYFUNCTION("""COMPUTED_VALUE"""),"Others")</f>
        <v>Others</v>
      </c>
      <c r="H27" s="243">
        <f>IFERROR(__xludf.DUMMYFUNCTION("""COMPUTED_VALUE"""),100.0)</f>
        <v>100</v>
      </c>
      <c r="I27" s="242" t="str">
        <f>IFERROR(__xludf.DUMMYFUNCTION("""COMPUTED_VALUE"""),"Mobile Banking")</f>
        <v>Mobile Banking</v>
      </c>
      <c r="J27" s="242"/>
      <c r="K27" s="242"/>
      <c r="L27" s="242" t="str">
        <f>IFERROR(__xludf.DUMMYFUNCTION("""COMPUTED_VALUE"""),"ให้พาย")</f>
        <v>ให้พาย</v>
      </c>
    </row>
    <row r="28">
      <c r="A28" s="239"/>
      <c r="B28" s="239"/>
      <c r="C28" s="239"/>
      <c r="D28" s="240"/>
      <c r="E28" s="241">
        <f>IFERROR(__xludf.DUMMYFUNCTION("""COMPUTED_VALUE"""),45951.0)</f>
        <v>45951</v>
      </c>
      <c r="F28" s="242" t="str">
        <f>IFERROR(__xludf.DUMMYFUNCTION("""COMPUTED_VALUE"""),"Food &amp; Drink")</f>
        <v>Food &amp; Drink</v>
      </c>
      <c r="G28" s="242" t="str">
        <f>IFERROR(__xludf.DUMMYFUNCTION("""COMPUTED_VALUE"""),"Main meals")</f>
        <v>Main meals</v>
      </c>
      <c r="H28" s="243">
        <f>IFERROR(__xludf.DUMMYFUNCTION("""COMPUTED_VALUE"""),139.0)</f>
        <v>139</v>
      </c>
      <c r="I28" s="242" t="str">
        <f>IFERROR(__xludf.DUMMYFUNCTION("""COMPUTED_VALUE"""),"TTB So Smart")</f>
        <v>TTB So Smart</v>
      </c>
      <c r="J28" s="242" t="str">
        <f>IFERROR(__xludf.DUMMYFUNCTION("""COMPUTED_VALUE"""),"Credit Payment")</f>
        <v>Credit Payment</v>
      </c>
      <c r="K28" s="242" t="str">
        <f>IFERROR(__xludf.DUMMYFUNCTION("""COMPUTED_VALUE"""),"Noodle")</f>
        <v>Noodle</v>
      </c>
      <c r="L28" s="242" t="str">
        <f>IFERROR(__xludf.DUMMYFUNCTION("""COMPUTED_VALUE"""),"เตี๋ยวไก่")</f>
        <v>เตี๋ยวไก่</v>
      </c>
    </row>
    <row r="29">
      <c r="A29" s="239"/>
      <c r="B29" s="239"/>
      <c r="C29" s="239"/>
      <c r="D29" s="240"/>
      <c r="E29" s="241">
        <f>IFERROR(__xludf.DUMMYFUNCTION("""COMPUTED_VALUE"""),45950.0)</f>
        <v>45950</v>
      </c>
      <c r="F29" s="242" t="str">
        <f>IFERROR(__xludf.DUMMYFUNCTION("""COMPUTED_VALUE"""),"Food &amp; Drink")</f>
        <v>Food &amp; Drink</v>
      </c>
      <c r="G29" s="242" t="str">
        <f>IFERROR(__xludf.DUMMYFUNCTION("""COMPUTED_VALUE"""),"Main meals")</f>
        <v>Main meals</v>
      </c>
      <c r="H29" s="243">
        <f>IFERROR(__xludf.DUMMYFUNCTION("""COMPUTED_VALUE"""),85.0)</f>
        <v>85</v>
      </c>
      <c r="I29" s="242" t="str">
        <f>IFERROR(__xludf.DUMMYFUNCTION("""COMPUTED_VALUE"""),"Mobile Banking")</f>
        <v>Mobile Banking</v>
      </c>
      <c r="J29" s="242"/>
      <c r="K29" s="242"/>
      <c r="L29" s="242" t="str">
        <f>IFERROR(__xludf.DUMMYFUNCTION("""COMPUTED_VALUE"""),"กะเพรา")</f>
        <v>กะเพรา</v>
      </c>
    </row>
    <row r="30">
      <c r="A30" s="239"/>
      <c r="B30" s="239"/>
      <c r="C30" s="239"/>
      <c r="D30" s="240"/>
      <c r="E30" s="241">
        <f>IFERROR(__xludf.DUMMYFUNCTION("""COMPUTED_VALUE"""),45950.0)</f>
        <v>45950</v>
      </c>
      <c r="F30" s="242" t="str">
        <f>IFERROR(__xludf.DUMMYFUNCTION("""COMPUTED_VALUE"""),"Food &amp; Drink")</f>
        <v>Food &amp; Drink</v>
      </c>
      <c r="G30" s="242" t="str">
        <f>IFERROR(__xludf.DUMMYFUNCTION("""COMPUTED_VALUE"""),"Dine-out")</f>
        <v>Dine-out</v>
      </c>
      <c r="H30" s="243">
        <f>IFERROR(__xludf.DUMMYFUNCTION("""COMPUTED_VALUE"""),534.0)</f>
        <v>534</v>
      </c>
      <c r="I30" s="242" t="str">
        <f>IFERROR(__xludf.DUMMYFUNCTION("""COMPUTED_VALUE"""),"Mobile Banking")</f>
        <v>Mobile Banking</v>
      </c>
      <c r="J30" s="242"/>
      <c r="K30" s="242"/>
      <c r="L30" s="242" t="str">
        <f>IFERROR(__xludf.DUMMYFUNCTION("""COMPUTED_VALUE"""),"BBQ Plaza")</f>
        <v>BBQ Plaza</v>
      </c>
    </row>
    <row r="31">
      <c r="A31" s="239"/>
      <c r="B31" s="239"/>
      <c r="C31" s="239"/>
      <c r="D31" s="240"/>
      <c r="E31" s="241">
        <f>IFERROR(__xludf.DUMMYFUNCTION("""COMPUTED_VALUE"""),45950.0)</f>
        <v>45950</v>
      </c>
      <c r="F31" s="242" t="str">
        <f>IFERROR(__xludf.DUMMYFUNCTION("""COMPUTED_VALUE"""),"Food &amp; Drink")</f>
        <v>Food &amp; Drink</v>
      </c>
      <c r="G31" s="242" t="str">
        <f>IFERROR(__xludf.DUMMYFUNCTION("""COMPUTED_VALUE"""),"Snacks")</f>
        <v>Snacks</v>
      </c>
      <c r="H31" s="243">
        <f>IFERROR(__xludf.DUMMYFUNCTION("""COMPUTED_VALUE"""),10.0)</f>
        <v>10</v>
      </c>
      <c r="I31" s="242" t="str">
        <f>IFERROR(__xludf.DUMMYFUNCTION("""COMPUTED_VALUE"""),"Mobile Banking")</f>
        <v>Mobile Banking</v>
      </c>
      <c r="J31" s="242"/>
      <c r="K31" s="242"/>
      <c r="L31" s="242" t="str">
        <f>IFERROR(__xludf.DUMMYFUNCTION("""COMPUTED_VALUE"""),"ถั่ว")</f>
        <v>ถั่ว</v>
      </c>
    </row>
    <row r="32">
      <c r="A32" s="239"/>
      <c r="B32" s="239"/>
      <c r="C32" s="239"/>
      <c r="D32" s="240"/>
      <c r="E32" s="241">
        <f>IFERROR(__xludf.DUMMYFUNCTION("""COMPUTED_VALUE"""),45950.0)</f>
        <v>45950</v>
      </c>
      <c r="F32" s="242" t="str">
        <f>IFERROR(__xludf.DUMMYFUNCTION("""COMPUTED_VALUE"""),"Residence")</f>
        <v>Residence</v>
      </c>
      <c r="G32" s="242" t="str">
        <f>IFERROR(__xludf.DUMMYFUNCTION("""COMPUTED_VALUE"""),"Water Bill")</f>
        <v>Water Bill</v>
      </c>
      <c r="H32" s="243">
        <f>IFERROR(__xludf.DUMMYFUNCTION("""COMPUTED_VALUE"""),184.07)</f>
        <v>184.07</v>
      </c>
      <c r="I32" s="242" t="str">
        <f>IFERROR(__xludf.DUMMYFUNCTION("""COMPUTED_VALUE"""),"Mobile Banking")</f>
        <v>Mobile Banking</v>
      </c>
      <c r="J32" s="242"/>
      <c r="K32" s="242"/>
      <c r="L32" s="242" t="str">
        <f>IFERROR(__xludf.DUMMYFUNCTION("""COMPUTED_VALUE"""),"ค่าน้ำ")</f>
        <v>ค่าน้ำ</v>
      </c>
    </row>
    <row r="33">
      <c r="A33" s="239"/>
      <c r="B33" s="239"/>
      <c r="C33" s="239"/>
      <c r="D33" s="240"/>
      <c r="E33" s="241">
        <f>IFERROR(__xludf.DUMMYFUNCTION("""COMPUTED_VALUE"""),45950.0)</f>
        <v>45950</v>
      </c>
      <c r="F33" s="242" t="str">
        <f>IFERROR(__xludf.DUMMYFUNCTION("""COMPUTED_VALUE"""),"Food &amp; Drink")</f>
        <v>Food &amp; Drink</v>
      </c>
      <c r="G33" s="242" t="str">
        <f>IFERROR(__xludf.DUMMYFUNCTION("""COMPUTED_VALUE"""),"Snacks")</f>
        <v>Snacks</v>
      </c>
      <c r="H33" s="243">
        <f>IFERROR(__xludf.DUMMYFUNCTION("""COMPUTED_VALUE"""),278.0)</f>
        <v>278</v>
      </c>
      <c r="I33" s="242" t="str">
        <f>IFERROR(__xludf.DUMMYFUNCTION("""COMPUTED_VALUE"""),"Mobile Banking")</f>
        <v>Mobile Banking</v>
      </c>
      <c r="J33" s="242"/>
      <c r="K33" s="242" t="str">
        <f>IFERROR(__xludf.DUMMYFUNCTION("""COMPUTED_VALUE"""),"7-Eleven")</f>
        <v>7-Eleven</v>
      </c>
      <c r="L33" s="242" t="str">
        <f>IFERROR(__xludf.DUMMYFUNCTION("""COMPUTED_VALUE"""),"ตั้งแต่วันที่ 20-24")</f>
        <v>ตั้งแต่วันที่ 20-24</v>
      </c>
    </row>
    <row r="34">
      <c r="A34" s="239"/>
      <c r="B34" s="239"/>
      <c r="C34" s="239"/>
      <c r="D34" s="240"/>
      <c r="E34" s="241">
        <f>IFERROR(__xludf.DUMMYFUNCTION("""COMPUTED_VALUE"""),45949.0)</f>
        <v>45949</v>
      </c>
      <c r="F34" s="242" t="str">
        <f>IFERROR(__xludf.DUMMYFUNCTION("""COMPUTED_VALUE"""),"Service")</f>
        <v>Service</v>
      </c>
      <c r="G34" s="242" t="str">
        <f>IFERROR(__xludf.DUMMYFUNCTION("""COMPUTED_VALUE"""),"Subscription")</f>
        <v>Subscription</v>
      </c>
      <c r="H34" s="243">
        <f>IFERROR(__xludf.DUMMYFUNCTION("""COMPUTED_VALUE"""),1200.0)</f>
        <v>1200</v>
      </c>
      <c r="I34" s="242" t="str">
        <f>IFERROR(__xludf.DUMMYFUNCTION("""COMPUTED_VALUE"""),"Mobile Banking")</f>
        <v>Mobile Banking</v>
      </c>
      <c r="J34" s="242"/>
      <c r="K34" s="242"/>
      <c r="L34" s="242" t="str">
        <f>IFERROR(__xludf.DUMMYFUNCTION("""COMPUTED_VALUE"""),"เข้ากลุ่มลิงเล่นหุ้นรายปี")</f>
        <v>เข้ากลุ่มลิงเล่นหุ้นรายปี</v>
      </c>
    </row>
    <row r="35">
      <c r="A35" s="239"/>
      <c r="B35" s="239"/>
      <c r="C35" s="239"/>
      <c r="D35" s="240"/>
      <c r="E35" s="241">
        <f>IFERROR(__xludf.DUMMYFUNCTION("""COMPUTED_VALUE"""),45949.0)</f>
        <v>45949</v>
      </c>
      <c r="F35" s="242" t="str">
        <f>IFERROR(__xludf.DUMMYFUNCTION("""COMPUTED_VALUE"""),"Food &amp; Drink")</f>
        <v>Food &amp; Drink</v>
      </c>
      <c r="G35" s="242" t="str">
        <f>IFERROR(__xludf.DUMMYFUNCTION("""COMPUTED_VALUE"""),"Groceries")</f>
        <v>Groceries</v>
      </c>
      <c r="H35" s="243">
        <f>IFERROR(__xludf.DUMMYFUNCTION("""COMPUTED_VALUE"""),60.0)</f>
        <v>60</v>
      </c>
      <c r="I35" s="242" t="str">
        <f>IFERROR(__xludf.DUMMYFUNCTION("""COMPUTED_VALUE"""),"Mobile Banking")</f>
        <v>Mobile Banking</v>
      </c>
      <c r="J35" s="242"/>
      <c r="K35" s="242"/>
      <c r="L35" s="242" t="str">
        <f>IFERROR(__xludf.DUMMYFUNCTION("""COMPUTED_VALUE"""),"ผักตลาด")</f>
        <v>ผักตลาด</v>
      </c>
    </row>
    <row r="36">
      <c r="A36" s="239"/>
      <c r="B36" s="239"/>
      <c r="C36" s="239"/>
      <c r="D36" s="240"/>
      <c r="E36" s="241">
        <f>IFERROR(__xludf.DUMMYFUNCTION("""COMPUTED_VALUE"""),45949.0)</f>
        <v>45949</v>
      </c>
      <c r="F36" s="242" t="str">
        <f>IFERROR(__xludf.DUMMYFUNCTION("""COMPUTED_VALUE"""),"Food &amp; Drink")</f>
        <v>Food &amp; Drink</v>
      </c>
      <c r="G36" s="242" t="str">
        <f>IFERROR(__xludf.DUMMYFUNCTION("""COMPUTED_VALUE"""),"Snacks")</f>
        <v>Snacks</v>
      </c>
      <c r="H36" s="243">
        <f>IFERROR(__xludf.DUMMYFUNCTION("""COMPUTED_VALUE"""),99.0)</f>
        <v>99</v>
      </c>
      <c r="I36" s="242" t="str">
        <f>IFERROR(__xludf.DUMMYFUNCTION("""COMPUTED_VALUE"""),"Mobile Banking")</f>
        <v>Mobile Banking</v>
      </c>
      <c r="J36" s="242"/>
      <c r="K36" s="242"/>
      <c r="L36" s="242" t="str">
        <f>IFERROR(__xludf.DUMMYFUNCTION("""COMPUTED_VALUE"""),"bing su")</f>
        <v>bing su</v>
      </c>
    </row>
    <row r="37">
      <c r="A37" s="239"/>
      <c r="B37" s="239"/>
      <c r="C37" s="239"/>
      <c r="D37" s="240"/>
      <c r="E37" s="241">
        <f>IFERROR(__xludf.DUMMYFUNCTION("""COMPUTED_VALUE"""),45949.0)</f>
        <v>45949</v>
      </c>
      <c r="F37" s="242" t="str">
        <f>IFERROR(__xludf.DUMMYFUNCTION("""COMPUTED_VALUE"""),"Food &amp; Drink")</f>
        <v>Food &amp; Drink</v>
      </c>
      <c r="G37" s="242" t="str">
        <f>IFERROR(__xludf.DUMMYFUNCTION("""COMPUTED_VALUE"""),"Main meals")</f>
        <v>Main meals</v>
      </c>
      <c r="H37" s="243">
        <f>IFERROR(__xludf.DUMMYFUNCTION("""COMPUTED_VALUE"""),110.0)</f>
        <v>110</v>
      </c>
      <c r="I37" s="242" t="str">
        <f>IFERROR(__xludf.DUMMYFUNCTION("""COMPUTED_VALUE"""),"Mobile Banking")</f>
        <v>Mobile Banking</v>
      </c>
      <c r="J37" s="242"/>
      <c r="K37" s="242"/>
      <c r="L37" s="242" t="str">
        <f>IFERROR(__xludf.DUMMYFUNCTION("""COMPUTED_VALUE"""),"กะเพรา")</f>
        <v>กะเพรา</v>
      </c>
    </row>
    <row r="38">
      <c r="A38" s="239"/>
      <c r="B38" s="239"/>
      <c r="C38" s="239"/>
      <c r="D38" s="240"/>
      <c r="E38" s="241">
        <f>IFERROR(__xludf.DUMMYFUNCTION("""COMPUTED_VALUE"""),45949.0)</f>
        <v>45949</v>
      </c>
      <c r="F38" s="242" t="str">
        <f>IFERROR(__xludf.DUMMYFUNCTION("""COMPUTED_VALUE"""),"Items")</f>
        <v>Items</v>
      </c>
      <c r="G38" s="242" t="str">
        <f>IFERROR(__xludf.DUMMYFUNCTION("""COMPUTED_VALUE"""),"Others")</f>
        <v>Others</v>
      </c>
      <c r="H38" s="243">
        <f>IFERROR(__xludf.DUMMYFUNCTION("""COMPUTED_VALUE"""),30.0)</f>
        <v>30</v>
      </c>
      <c r="I38" s="242" t="str">
        <f>IFERROR(__xludf.DUMMYFUNCTION("""COMPUTED_VALUE"""),"Mobile Banking")</f>
        <v>Mobile Banking</v>
      </c>
      <c r="J38" s="242"/>
      <c r="K38" s="242"/>
      <c r="L38" s="242" t="str">
        <f>IFERROR(__xludf.DUMMYFUNCTION("""COMPUTED_VALUE"""),"พวกกุจแจของญี่ปุ่น")</f>
        <v>พวกกุจแจของญี่ปุ่น</v>
      </c>
    </row>
    <row r="39">
      <c r="A39" s="239"/>
      <c r="B39" s="239"/>
      <c r="C39" s="239"/>
      <c r="D39" s="240"/>
      <c r="E39" s="241">
        <f>IFERROR(__xludf.DUMMYFUNCTION("""COMPUTED_VALUE"""),45949.0)</f>
        <v>45949</v>
      </c>
      <c r="F39" s="242" t="str">
        <f>IFERROR(__xludf.DUMMYFUNCTION("""COMPUTED_VALUE"""),"Items")</f>
        <v>Items</v>
      </c>
      <c r="G39" s="242" t="str">
        <f>IFERROR(__xludf.DUMMYFUNCTION("""COMPUTED_VALUE"""),"Personal Items")</f>
        <v>Personal Items</v>
      </c>
      <c r="H39" s="243">
        <f>IFERROR(__xludf.DUMMYFUNCTION("""COMPUTED_VALUE"""),157.0)</f>
        <v>157</v>
      </c>
      <c r="I39" s="242" t="str">
        <f>IFERROR(__xludf.DUMMYFUNCTION("""COMPUTED_VALUE"""),"TTB So Smart")</f>
        <v>TTB So Smart</v>
      </c>
      <c r="J39" s="242" t="str">
        <f>IFERROR(__xludf.DUMMYFUNCTION("""COMPUTED_VALUE"""),"Credit Payment")</f>
        <v>Credit Payment</v>
      </c>
      <c r="K39" s="242"/>
      <c r="L39" s="242" t="str">
        <f>IFERROR(__xludf.DUMMYFUNCTION("""COMPUTED_VALUE"""),"น้ำหอมรถยนต์")</f>
        <v>น้ำหอมรถยนต์</v>
      </c>
    </row>
    <row r="40">
      <c r="A40" s="239"/>
      <c r="B40" s="239"/>
      <c r="C40" s="239"/>
      <c r="D40" s="240"/>
      <c r="E40" s="241">
        <f>IFERROR(__xludf.DUMMYFUNCTION("""COMPUTED_VALUE"""),45949.0)</f>
        <v>45949</v>
      </c>
      <c r="F40" s="242" t="str">
        <f>IFERROR(__xludf.DUMMYFUNCTION("""COMPUTED_VALUE"""),"Hobby")</f>
        <v>Hobby</v>
      </c>
      <c r="G40" s="242" t="str">
        <f>IFERROR(__xludf.DUMMYFUNCTION("""COMPUTED_VALUE"""),"Computer")</f>
        <v>Computer</v>
      </c>
      <c r="H40" s="243">
        <f>IFERROR(__xludf.DUMMYFUNCTION("""COMPUTED_VALUE"""),1017.0)</f>
        <v>1017</v>
      </c>
      <c r="I40" s="242" t="str">
        <f>IFERROR(__xludf.DUMMYFUNCTION("""COMPUTED_VALUE"""),"TTB So Smart")</f>
        <v>TTB So Smart</v>
      </c>
      <c r="J40" s="242" t="str">
        <f>IFERROR(__xludf.DUMMYFUNCTION("""COMPUTED_VALUE"""),"Credit Payment")</f>
        <v>Credit Payment</v>
      </c>
      <c r="K40" s="242"/>
      <c r="L40" s="242" t="str">
        <f>IFERROR(__xludf.DUMMYFUNCTION("""COMPUTED_VALUE"""),"ขาจับไมค์, แผ่นรองเม้า")</f>
        <v>ขาจับไมค์, แผ่นรองเม้า</v>
      </c>
    </row>
    <row r="41">
      <c r="A41" s="239"/>
      <c r="B41" s="239"/>
      <c r="C41" s="239"/>
      <c r="D41" s="240"/>
      <c r="E41" s="241">
        <f>IFERROR(__xludf.DUMMYFUNCTION("""COMPUTED_VALUE"""),45948.0)</f>
        <v>45948</v>
      </c>
      <c r="F41" s="242" t="str">
        <f>IFERROR(__xludf.DUMMYFUNCTION("""COMPUTED_VALUE"""),"Transportation")</f>
        <v>Transportation</v>
      </c>
      <c r="G41" s="242" t="str">
        <f>IFERROR(__xludf.DUMMYFUNCTION("""COMPUTED_VALUE"""),"Others")</f>
        <v>Others</v>
      </c>
      <c r="H41" s="243">
        <f>IFERROR(__xludf.DUMMYFUNCTION("""COMPUTED_VALUE"""),337.0)</f>
        <v>337</v>
      </c>
      <c r="I41" s="242" t="str">
        <f>IFERROR(__xludf.DUMMYFUNCTION("""COMPUTED_VALUE"""),"UOB One")</f>
        <v>UOB One</v>
      </c>
      <c r="J41" s="242" t="str">
        <f>IFERROR(__xludf.DUMMYFUNCTION("""COMPUTED_VALUE"""),"Credit Spending")</f>
        <v>Credit Spending</v>
      </c>
      <c r="K41" s="242"/>
      <c r="L41" s="242" t="str">
        <f>IFERROR(__xludf.DUMMYFUNCTION("""COMPUTED_VALUE"""),"นั่ง grab กลับบ้าน")</f>
        <v>นั่ง grab กลับบ้าน</v>
      </c>
    </row>
    <row r="42">
      <c r="A42" s="239"/>
      <c r="B42" s="239"/>
      <c r="C42" s="239"/>
      <c r="D42" s="240"/>
      <c r="E42" s="241">
        <f>IFERROR(__xludf.DUMMYFUNCTION("""COMPUTED_VALUE"""),45948.0)</f>
        <v>45948</v>
      </c>
      <c r="F42" s="242" t="str">
        <f>IFERROR(__xludf.DUMMYFUNCTION("""COMPUTED_VALUE"""),"Food &amp; Drink")</f>
        <v>Food &amp; Drink</v>
      </c>
      <c r="G42" s="242" t="str">
        <f>IFERROR(__xludf.DUMMYFUNCTION("""COMPUTED_VALUE"""),"Main meals")</f>
        <v>Main meals</v>
      </c>
      <c r="H42" s="243">
        <f>IFERROR(__xludf.DUMMYFUNCTION("""COMPUTED_VALUE"""),205.6)</f>
        <v>205.6</v>
      </c>
      <c r="I42" s="242" t="str">
        <f>IFERROR(__xludf.DUMMYFUNCTION("""COMPUTED_VALUE"""),"UOB One")</f>
        <v>UOB One</v>
      </c>
      <c r="J42" s="242" t="str">
        <f>IFERROR(__xludf.DUMMYFUNCTION("""COMPUTED_VALUE"""),"Credit Spending")</f>
        <v>Credit Spending</v>
      </c>
      <c r="K42" s="242"/>
      <c r="L42" s="242" t="str">
        <f>IFERROR(__xludf.DUMMYFUNCTION("""COMPUTED_VALUE"""),"ข้าวเที่ยง")</f>
        <v>ข้าวเที่ยง</v>
      </c>
    </row>
    <row r="43">
      <c r="A43" s="239"/>
      <c r="B43" s="239"/>
      <c r="C43" s="239"/>
      <c r="D43" s="240"/>
      <c r="E43" s="241">
        <f>IFERROR(__xludf.DUMMYFUNCTION("""COMPUTED_VALUE"""),45947.0)</f>
        <v>45947</v>
      </c>
      <c r="F43" s="242" t="str">
        <f>IFERROR(__xludf.DUMMYFUNCTION("""COMPUTED_VALUE"""),"Items")</f>
        <v>Items</v>
      </c>
      <c r="G43" s="242" t="str">
        <f>IFERROR(__xludf.DUMMYFUNCTION("""COMPUTED_VALUE"""),"Household Items")</f>
        <v>Household Items</v>
      </c>
      <c r="H43" s="243">
        <f>IFERROR(__xludf.DUMMYFUNCTION("""COMPUTED_VALUE"""),432.0)</f>
        <v>432</v>
      </c>
      <c r="I43" s="242" t="str">
        <f>IFERROR(__xludf.DUMMYFUNCTION("""COMPUTED_VALUE"""),"TTB So Smart")</f>
        <v>TTB So Smart</v>
      </c>
      <c r="J43" s="242" t="str">
        <f>IFERROR(__xludf.DUMMYFUNCTION("""COMPUTED_VALUE"""),"Credit Payment")</f>
        <v>Credit Payment</v>
      </c>
      <c r="K43" s="242"/>
      <c r="L43" s="242" t="str">
        <f>IFERROR(__xludf.DUMMYFUNCTION("""COMPUTED_VALUE"""),"แปรงสีฟัน, ยาสระผม")</f>
        <v>แปรงสีฟัน, ยาสระผม</v>
      </c>
    </row>
    <row r="44">
      <c r="A44" s="239"/>
      <c r="B44" s="239"/>
      <c r="C44" s="239"/>
      <c r="D44" s="240"/>
      <c r="E44" s="241">
        <f>IFERROR(__xludf.DUMMYFUNCTION("""COMPUTED_VALUE"""),45947.0)</f>
        <v>45947</v>
      </c>
      <c r="F44" s="242" t="str">
        <f>IFERROR(__xludf.DUMMYFUNCTION("""COMPUTED_VALUE"""),"Items")</f>
        <v>Items</v>
      </c>
      <c r="G44" s="242" t="str">
        <f>IFERROR(__xludf.DUMMYFUNCTION("""COMPUTED_VALUE"""),"Skincare")</f>
        <v>Skincare</v>
      </c>
      <c r="H44" s="243">
        <f>IFERROR(__xludf.DUMMYFUNCTION("""COMPUTED_VALUE"""),1927.0)</f>
        <v>1927</v>
      </c>
      <c r="I44" s="242" t="str">
        <f>IFERROR(__xludf.DUMMYFUNCTION("""COMPUTED_VALUE"""),"TTB So Smart")</f>
        <v>TTB So Smart</v>
      </c>
      <c r="J44" s="242" t="str">
        <f>IFERROR(__xludf.DUMMYFUNCTION("""COMPUTED_VALUE"""),"Credit Payment")</f>
        <v>Credit Payment</v>
      </c>
      <c r="K44" s="242"/>
      <c r="L44" s="242" t="str">
        <f>IFERROR(__xludf.DUMMYFUNCTION("""COMPUTED_VALUE"""),"น้ำหอม CK, ครีม verite, มีดโกนหนวด")</f>
        <v>น้ำหอม CK, ครีม verite, มีดโกนหนวด</v>
      </c>
    </row>
    <row r="45">
      <c r="A45" s="239"/>
      <c r="B45" s="239"/>
      <c r="C45" s="239"/>
      <c r="D45" s="240"/>
      <c r="E45" s="241">
        <f>IFERROR(__xludf.DUMMYFUNCTION("""COMPUTED_VALUE"""),45947.0)</f>
        <v>45947</v>
      </c>
      <c r="F45" s="242" t="str">
        <f>IFERROR(__xludf.DUMMYFUNCTION("""COMPUTED_VALUE"""),"Food &amp; Drink")</f>
        <v>Food &amp; Drink</v>
      </c>
      <c r="G45" s="242" t="str">
        <f>IFERROR(__xludf.DUMMYFUNCTION("""COMPUTED_VALUE"""),"Alcohol")</f>
        <v>Alcohol</v>
      </c>
      <c r="H45" s="243">
        <f>IFERROR(__xludf.DUMMYFUNCTION("""COMPUTED_VALUE"""),1284.0)</f>
        <v>1284</v>
      </c>
      <c r="I45" s="242" t="str">
        <f>IFERROR(__xludf.DUMMYFUNCTION("""COMPUTED_VALUE"""),"Mobile Banking")</f>
        <v>Mobile Banking</v>
      </c>
      <c r="J45" s="242"/>
      <c r="K45" s="242" t="str">
        <f>IFERROR(__xludf.DUMMYFUNCTION("""COMPUTED_VALUE"""),"Thai Watsadu")</f>
        <v>Thai Watsadu</v>
      </c>
      <c r="L45" s="242" t="str">
        <f>IFERROR(__xludf.DUMMYFUNCTION("""COMPUTED_VALUE"""),"เบียร์ + ตี๋น้อย")</f>
        <v>เบียร์ + ตี๋น้อย</v>
      </c>
    </row>
    <row r="46">
      <c r="A46" s="239"/>
      <c r="B46" s="239"/>
      <c r="C46" s="239"/>
      <c r="D46" s="240"/>
      <c r="E46" s="241">
        <f>IFERROR(__xludf.DUMMYFUNCTION("""COMPUTED_VALUE"""),45946.0)</f>
        <v>45946</v>
      </c>
      <c r="F46" s="242" t="str">
        <f>IFERROR(__xludf.DUMMYFUNCTION("""COMPUTED_VALUE"""),"Others")</f>
        <v>Others</v>
      </c>
      <c r="G46" s="242" t="str">
        <f>IFERROR(__xludf.DUMMYFUNCTION("""COMPUTED_VALUE"""),"Others")</f>
        <v>Others</v>
      </c>
      <c r="H46" s="243">
        <f>IFERROR(__xludf.DUMMYFUNCTION("""COMPUTED_VALUE"""),12.0)</f>
        <v>12</v>
      </c>
      <c r="I46" s="242" t="str">
        <f>IFERROR(__xludf.DUMMYFUNCTION("""COMPUTED_VALUE"""),"Cash")</f>
        <v>Cash</v>
      </c>
      <c r="J46" s="242"/>
      <c r="K46" s="242"/>
      <c r="L46" s="242" t="str">
        <f>IFERROR(__xludf.DUMMYFUNCTION("""COMPUTED_VALUE"""),"ถ่ายเอกสารทำบัตรเครดิต")</f>
        <v>ถ่ายเอกสารทำบัตรเครดิต</v>
      </c>
    </row>
    <row r="47">
      <c r="A47" s="239"/>
      <c r="B47" s="239"/>
      <c r="C47" s="239"/>
      <c r="D47" s="240"/>
      <c r="E47" s="241">
        <f>IFERROR(__xludf.DUMMYFUNCTION("""COMPUTED_VALUE"""),45946.0)</f>
        <v>45946</v>
      </c>
      <c r="F47" s="242" t="str">
        <f>IFERROR(__xludf.DUMMYFUNCTION("""COMPUTED_VALUE"""),"Food &amp; Drink")</f>
        <v>Food &amp; Drink</v>
      </c>
      <c r="G47" s="242" t="str">
        <f>IFERROR(__xludf.DUMMYFUNCTION("""COMPUTED_VALUE"""),"Main meals")</f>
        <v>Main meals</v>
      </c>
      <c r="H47" s="243">
        <f>IFERROR(__xludf.DUMMYFUNCTION("""COMPUTED_VALUE"""),85.0)</f>
        <v>85</v>
      </c>
      <c r="I47" s="242" t="str">
        <f>IFERROR(__xludf.DUMMYFUNCTION("""COMPUTED_VALUE"""),"Mobile Banking")</f>
        <v>Mobile Banking</v>
      </c>
      <c r="J47" s="242"/>
      <c r="K47" s="242"/>
      <c r="L47" s="242" t="str">
        <f>IFERROR(__xludf.DUMMYFUNCTION("""COMPUTED_VALUE"""),"กะเพรา")</f>
        <v>กะเพรา</v>
      </c>
    </row>
    <row r="48">
      <c r="A48" s="239"/>
      <c r="B48" s="239"/>
      <c r="C48" s="239"/>
      <c r="D48" s="240"/>
      <c r="E48" s="241">
        <f>IFERROR(__xludf.DUMMYFUNCTION("""COMPUTED_VALUE"""),45946.0)</f>
        <v>45946</v>
      </c>
      <c r="F48" s="242" t="str">
        <f>IFERROR(__xludf.DUMMYFUNCTION("""COMPUTED_VALUE"""),"Food &amp; Drink")</f>
        <v>Food &amp; Drink</v>
      </c>
      <c r="G48" s="242" t="str">
        <f>IFERROR(__xludf.DUMMYFUNCTION("""COMPUTED_VALUE"""),"Groceries")</f>
        <v>Groceries</v>
      </c>
      <c r="H48" s="243">
        <f>IFERROR(__xludf.DUMMYFUNCTION("""COMPUTED_VALUE"""),60.0)</f>
        <v>60</v>
      </c>
      <c r="I48" s="242" t="str">
        <f>IFERROR(__xludf.DUMMYFUNCTION("""COMPUTED_VALUE"""),"Mobile Banking")</f>
        <v>Mobile Banking</v>
      </c>
      <c r="J48" s="242"/>
      <c r="K48" s="242"/>
      <c r="L48" s="242" t="str">
        <f>IFERROR(__xludf.DUMMYFUNCTION("""COMPUTED_VALUE"""),"มะพร้าว")</f>
        <v>มะพร้าว</v>
      </c>
    </row>
    <row r="49">
      <c r="A49" s="239"/>
      <c r="B49" s="239"/>
      <c r="C49" s="239"/>
      <c r="D49" s="240"/>
      <c r="E49" s="241">
        <f>IFERROR(__xludf.DUMMYFUNCTION("""COMPUTED_VALUE"""),45946.0)</f>
        <v>45946</v>
      </c>
      <c r="F49" s="242" t="str">
        <f>IFERROR(__xludf.DUMMYFUNCTION("""COMPUTED_VALUE"""),"Service")</f>
        <v>Service</v>
      </c>
      <c r="G49" s="242" t="str">
        <f>IFERROR(__xludf.DUMMYFUNCTION("""COMPUTED_VALUE"""),"Haircut")</f>
        <v>Haircut</v>
      </c>
      <c r="H49" s="243">
        <f>IFERROR(__xludf.DUMMYFUNCTION("""COMPUTED_VALUE"""),200.0)</f>
        <v>200</v>
      </c>
      <c r="I49" s="242" t="str">
        <f>IFERROR(__xludf.DUMMYFUNCTION("""COMPUTED_VALUE"""),"Mobile Banking")</f>
        <v>Mobile Banking</v>
      </c>
      <c r="J49" s="242"/>
      <c r="K49" s="242"/>
      <c r="L49" s="242"/>
    </row>
    <row r="50">
      <c r="A50" s="239"/>
      <c r="B50" s="239"/>
      <c r="C50" s="239"/>
      <c r="D50" s="240"/>
      <c r="E50" s="241">
        <f>IFERROR(__xludf.DUMMYFUNCTION("""COMPUTED_VALUE"""),45946.0)</f>
        <v>45946</v>
      </c>
      <c r="F50" s="242" t="str">
        <f>IFERROR(__xludf.DUMMYFUNCTION("""COMPUTED_VALUE"""),"Food &amp; Drink")</f>
        <v>Food &amp; Drink</v>
      </c>
      <c r="G50" s="242" t="str">
        <f>IFERROR(__xludf.DUMMYFUNCTION("""COMPUTED_VALUE"""),"Drinks")</f>
        <v>Drinks</v>
      </c>
      <c r="H50" s="243">
        <f>IFERROR(__xludf.DUMMYFUNCTION("""COMPUTED_VALUE"""),40.0)</f>
        <v>40</v>
      </c>
      <c r="I50" s="242" t="str">
        <f>IFERROR(__xludf.DUMMYFUNCTION("""COMPUTED_VALUE"""),"Mobile Banking")</f>
        <v>Mobile Banking</v>
      </c>
      <c r="J50" s="242"/>
      <c r="K50" s="242"/>
      <c r="L50" s="242" t="str">
        <f>IFERROR(__xludf.DUMMYFUNCTION("""COMPUTED_VALUE"""),"ชานม")</f>
        <v>ชานม</v>
      </c>
    </row>
    <row r="51">
      <c r="A51" s="27"/>
      <c r="B51" s="27"/>
      <c r="C51" s="27"/>
      <c r="D51" s="244"/>
      <c r="E51" s="241">
        <f>IFERROR(__xludf.DUMMYFUNCTION("""COMPUTED_VALUE"""),45946.0)</f>
        <v>45946</v>
      </c>
      <c r="F51" s="222" t="str">
        <f>IFERROR(__xludf.DUMMYFUNCTION("""COMPUTED_VALUE"""),"Food &amp; Drink")</f>
        <v>Food &amp; Drink</v>
      </c>
      <c r="G51" s="222" t="str">
        <f>IFERROR(__xludf.DUMMYFUNCTION("""COMPUTED_VALUE"""),"Main meals")</f>
        <v>Main meals</v>
      </c>
      <c r="H51" s="245">
        <f>IFERROR(__xludf.DUMMYFUNCTION("""COMPUTED_VALUE"""),50.0)</f>
        <v>50</v>
      </c>
      <c r="I51" s="222" t="str">
        <f>IFERROR(__xludf.DUMMYFUNCTION("""COMPUTED_VALUE"""),"Mobile Banking")</f>
        <v>Mobile Banking</v>
      </c>
      <c r="J51" s="222"/>
      <c r="K51" s="222" t="str">
        <f>IFERROR(__xludf.DUMMYFUNCTION("""COMPUTED_VALUE"""),"Hainanese chicken rice")</f>
        <v>Hainanese chicken rice</v>
      </c>
      <c r="L51" s="222"/>
    </row>
    <row r="52">
      <c r="A52" s="27"/>
      <c r="B52" s="27"/>
      <c r="C52" s="27"/>
      <c r="D52" s="244"/>
      <c r="E52" s="241">
        <f>IFERROR(__xludf.DUMMYFUNCTION("""COMPUTED_VALUE"""),45946.0)</f>
        <v>45946</v>
      </c>
      <c r="F52" s="222" t="str">
        <f>IFERROR(__xludf.DUMMYFUNCTION("""COMPUTED_VALUE"""),"Food &amp; Drink")</f>
        <v>Food &amp; Drink</v>
      </c>
      <c r="G52" s="222" t="str">
        <f>IFERROR(__xludf.DUMMYFUNCTION("""COMPUTED_VALUE"""),"Snacks")</f>
        <v>Snacks</v>
      </c>
      <c r="H52" s="245">
        <f>IFERROR(__xludf.DUMMYFUNCTION("""COMPUTED_VALUE"""),58.0)</f>
        <v>58</v>
      </c>
      <c r="I52" s="222" t="str">
        <f>IFERROR(__xludf.DUMMYFUNCTION("""COMPUTED_VALUE"""),"TTB So Smart")</f>
        <v>TTB So Smart</v>
      </c>
      <c r="J52" s="222" t="str">
        <f>IFERROR(__xludf.DUMMYFUNCTION("""COMPUTED_VALUE"""),"Credit Payment")</f>
        <v>Credit Payment</v>
      </c>
      <c r="K52" s="222" t="str">
        <f>IFERROR(__xludf.DUMMYFUNCTION("""COMPUTED_VALUE"""),"Lotus")</f>
        <v>Lotus</v>
      </c>
      <c r="L52" s="222" t="str">
        <f>IFERROR(__xludf.DUMMYFUNCTION("""COMPUTED_VALUE"""),"ขนมปัง")</f>
        <v>ขนมปัง</v>
      </c>
    </row>
    <row r="53">
      <c r="A53" s="27"/>
      <c r="B53" s="27"/>
      <c r="C53" s="27"/>
      <c r="D53" s="244"/>
      <c r="E53" s="241">
        <f>IFERROR(__xludf.DUMMYFUNCTION("""COMPUTED_VALUE"""),45946.0)</f>
        <v>45946</v>
      </c>
      <c r="F53" s="222" t="str">
        <f>IFERROR(__xludf.DUMMYFUNCTION("""COMPUTED_VALUE"""),"Food &amp; Drink")</f>
        <v>Food &amp; Drink</v>
      </c>
      <c r="G53" s="222" t="str">
        <f>IFERROR(__xludf.DUMMYFUNCTION("""COMPUTED_VALUE"""),"Groceries")</f>
        <v>Groceries</v>
      </c>
      <c r="H53" s="245">
        <f>IFERROR(__xludf.DUMMYFUNCTION("""COMPUTED_VALUE"""),206.0)</f>
        <v>206</v>
      </c>
      <c r="I53" s="222" t="str">
        <f>IFERROR(__xludf.DUMMYFUNCTION("""COMPUTED_VALUE"""),"TTB So Smart")</f>
        <v>TTB So Smart</v>
      </c>
      <c r="J53" s="222" t="str">
        <f>IFERROR(__xludf.DUMMYFUNCTION("""COMPUTED_VALUE"""),"Credit Payment")</f>
        <v>Credit Payment</v>
      </c>
      <c r="K53" s="222" t="str">
        <f>IFERROR(__xludf.DUMMYFUNCTION("""COMPUTED_VALUE"""),"Lotus")</f>
        <v>Lotus</v>
      </c>
      <c r="L53" s="222" t="str">
        <f>IFERROR(__xludf.DUMMYFUNCTION("""COMPUTED_VALUE"""),"ผัก")</f>
        <v>ผัก</v>
      </c>
    </row>
    <row r="54">
      <c r="A54" s="27"/>
      <c r="B54" s="27"/>
      <c r="C54" s="27"/>
      <c r="D54" s="244"/>
      <c r="E54" s="241">
        <f>IFERROR(__xludf.DUMMYFUNCTION("""COMPUTED_VALUE"""),45945.0)</f>
        <v>45945</v>
      </c>
      <c r="F54" s="222" t="str">
        <f>IFERROR(__xludf.DUMMYFUNCTION("""COMPUTED_VALUE"""),"Food &amp; Drink")</f>
        <v>Food &amp; Drink</v>
      </c>
      <c r="G54" s="222" t="str">
        <f>IFERROR(__xludf.DUMMYFUNCTION("""COMPUTED_VALUE"""),"Main meals")</f>
        <v>Main meals</v>
      </c>
      <c r="H54" s="245">
        <f>IFERROR(__xludf.DUMMYFUNCTION("""COMPUTED_VALUE"""),98.0)</f>
        <v>98</v>
      </c>
      <c r="I54" s="222" t="str">
        <f>IFERROR(__xludf.DUMMYFUNCTION("""COMPUTED_VALUE"""),"UOB One")</f>
        <v>UOB One</v>
      </c>
      <c r="J54" s="222" t="str">
        <f>IFERROR(__xludf.DUMMYFUNCTION("""COMPUTED_VALUE"""),"Credit Spending")</f>
        <v>Credit Spending</v>
      </c>
      <c r="K54" s="222" t="str">
        <f>IFERROR(__xludf.DUMMYFUNCTION("""COMPUTED_VALUE"""),"KFC")</f>
        <v>KFC</v>
      </c>
      <c r="L54" s="222"/>
    </row>
    <row r="55">
      <c r="A55" s="27"/>
      <c r="B55" s="27"/>
      <c r="C55" s="27"/>
      <c r="D55" s="244"/>
      <c r="E55" s="241">
        <f>IFERROR(__xludf.DUMMYFUNCTION("""COMPUTED_VALUE"""),45944.0)</f>
        <v>45944</v>
      </c>
      <c r="F55" s="222" t="str">
        <f>IFERROR(__xludf.DUMMYFUNCTION("""COMPUTED_VALUE"""),"Food &amp; Drink")</f>
        <v>Food &amp; Drink</v>
      </c>
      <c r="G55" s="222" t="str">
        <f>IFERROR(__xludf.DUMMYFUNCTION("""COMPUTED_VALUE"""),"Main meals")</f>
        <v>Main meals</v>
      </c>
      <c r="H55" s="245">
        <f>IFERROR(__xludf.DUMMYFUNCTION("""COMPUTED_VALUE"""),50.0)</f>
        <v>50</v>
      </c>
      <c r="I55" s="222" t="str">
        <f>IFERROR(__xludf.DUMMYFUNCTION("""COMPUTED_VALUE"""),"Mobile Banking")</f>
        <v>Mobile Banking</v>
      </c>
      <c r="J55" s="222"/>
      <c r="K55" s="222" t="str">
        <f>IFERROR(__xludf.DUMMYFUNCTION("""COMPUTED_VALUE"""),"Noodle")</f>
        <v>Noodle</v>
      </c>
      <c r="L55" s="222"/>
    </row>
    <row r="56">
      <c r="A56" s="27"/>
      <c r="B56" s="27"/>
      <c r="C56" s="27"/>
      <c r="D56" s="244"/>
      <c r="E56" s="241">
        <f>IFERROR(__xludf.DUMMYFUNCTION("""COMPUTED_VALUE"""),45944.0)</f>
        <v>45944</v>
      </c>
      <c r="F56" s="222" t="str">
        <f>IFERROR(__xludf.DUMMYFUNCTION("""COMPUTED_VALUE"""),"Transportation")</f>
        <v>Transportation</v>
      </c>
      <c r="G56" s="222" t="str">
        <f>IFERROR(__xludf.DUMMYFUNCTION("""COMPUTED_VALUE"""),"Fee")</f>
        <v>Fee</v>
      </c>
      <c r="H56" s="245">
        <f>IFERROR(__xludf.DUMMYFUNCTION("""COMPUTED_VALUE"""),30.0)</f>
        <v>30</v>
      </c>
      <c r="I56" s="222" t="str">
        <f>IFERROR(__xludf.DUMMYFUNCTION("""COMPUTED_VALUE"""),"Mobile Banking")</f>
        <v>Mobile Banking</v>
      </c>
      <c r="J56" s="222"/>
      <c r="K56" s="222"/>
      <c r="L56" s="222" t="str">
        <f>IFERROR(__xludf.DUMMYFUNCTION("""COMPUTED_VALUE"""),"mflow")</f>
        <v>mflow</v>
      </c>
    </row>
    <row r="57">
      <c r="A57" s="27"/>
      <c r="B57" s="27"/>
      <c r="C57" s="27"/>
      <c r="D57" s="244"/>
      <c r="E57" s="241">
        <f>IFERROR(__xludf.DUMMYFUNCTION("""COMPUTED_VALUE"""),45944.0)</f>
        <v>45944</v>
      </c>
      <c r="F57" s="222" t="str">
        <f>IFERROR(__xludf.DUMMYFUNCTION("""COMPUTED_VALUE"""),"Food &amp; Drink")</f>
        <v>Food &amp; Drink</v>
      </c>
      <c r="G57" s="222" t="str">
        <f>IFERROR(__xludf.DUMMYFUNCTION("""COMPUTED_VALUE"""),"Drinks")</f>
        <v>Drinks</v>
      </c>
      <c r="H57" s="245">
        <f>IFERROR(__xludf.DUMMYFUNCTION("""COMPUTED_VALUE"""),28.0)</f>
        <v>28</v>
      </c>
      <c r="I57" s="222" t="str">
        <f>IFERROR(__xludf.DUMMYFUNCTION("""COMPUTED_VALUE"""),"Mobile Banking")</f>
        <v>Mobile Banking</v>
      </c>
      <c r="J57" s="222"/>
      <c r="K57" s="222" t="str">
        <f>IFERROR(__xludf.DUMMYFUNCTION("""COMPUTED_VALUE"""),"7-Eleven")</f>
        <v>7-Eleven</v>
      </c>
      <c r="L57" s="222" t="str">
        <f>IFERROR(__xludf.DUMMYFUNCTION("""COMPUTED_VALUE"""),"pepsi")</f>
        <v>pepsi</v>
      </c>
    </row>
    <row r="58">
      <c r="A58" s="27"/>
      <c r="B58" s="27"/>
      <c r="C58" s="27"/>
      <c r="D58" s="244"/>
      <c r="E58" s="241">
        <f>IFERROR(__xludf.DUMMYFUNCTION("""COMPUTED_VALUE"""),45943.0)</f>
        <v>45943</v>
      </c>
      <c r="F58" s="222" t="str">
        <f>IFERROR(__xludf.DUMMYFUNCTION("""COMPUTED_VALUE"""),"Health")</f>
        <v>Health</v>
      </c>
      <c r="G58" s="222" t="str">
        <f>IFERROR(__xludf.DUMMYFUNCTION("""COMPUTED_VALUE"""),"Exercise Equipment")</f>
        <v>Exercise Equipment</v>
      </c>
      <c r="H58" s="245">
        <f>IFERROR(__xludf.DUMMYFUNCTION("""COMPUTED_VALUE"""),200.0)</f>
        <v>200</v>
      </c>
      <c r="I58" s="222" t="str">
        <f>IFERROR(__xludf.DUMMYFUNCTION("""COMPUTED_VALUE"""),"UOB One")</f>
        <v>UOB One</v>
      </c>
      <c r="J58" s="222" t="str">
        <f>IFERROR(__xludf.DUMMYFUNCTION("""COMPUTED_VALUE"""),"Credit Spending")</f>
        <v>Credit Spending</v>
      </c>
      <c r="K58" s="222" t="str">
        <f>IFERROR(__xludf.DUMMYFUNCTION("""COMPUTED_VALUE"""),"Decathlon")</f>
        <v>Decathlon</v>
      </c>
      <c r="L58" s="222" t="str">
        <f>IFERROR(__xludf.DUMMYFUNCTION("""COMPUTED_VALUE"""),"Resistance Band")</f>
        <v>Resistance Band</v>
      </c>
    </row>
    <row r="59">
      <c r="A59" s="27"/>
      <c r="B59" s="27"/>
      <c r="C59" s="27"/>
      <c r="D59" s="244"/>
      <c r="E59" s="241">
        <f>IFERROR(__xludf.DUMMYFUNCTION("""COMPUTED_VALUE"""),45943.0)</f>
        <v>45943</v>
      </c>
      <c r="F59" s="222" t="str">
        <f>IFERROR(__xludf.DUMMYFUNCTION("""COMPUTED_VALUE"""),"Transportation")</f>
        <v>Transportation</v>
      </c>
      <c r="G59" s="222" t="str">
        <f>IFERROR(__xludf.DUMMYFUNCTION("""COMPUTED_VALUE"""),"Fuel")</f>
        <v>Fuel</v>
      </c>
      <c r="H59" s="245">
        <f>IFERROR(__xludf.DUMMYFUNCTION("""COMPUTED_VALUE"""),750.0)</f>
        <v>750</v>
      </c>
      <c r="I59" s="222" t="str">
        <f>IFERROR(__xludf.DUMMYFUNCTION("""COMPUTED_VALUE"""),"TTB So Smart")</f>
        <v>TTB So Smart</v>
      </c>
      <c r="J59" s="222" t="str">
        <f>IFERROR(__xludf.DUMMYFUNCTION("""COMPUTED_VALUE"""),"Credit Payment")</f>
        <v>Credit Payment</v>
      </c>
      <c r="K59" s="222" t="str">
        <f>IFERROR(__xludf.DUMMYFUNCTION("""COMPUTED_VALUE"""),"Caltex")</f>
        <v>Caltex</v>
      </c>
      <c r="L59" s="222"/>
    </row>
    <row r="60">
      <c r="A60" s="27"/>
      <c r="B60" s="27"/>
      <c r="C60" s="27"/>
      <c r="D60" s="244"/>
      <c r="E60" s="241">
        <f>IFERROR(__xludf.DUMMYFUNCTION("""COMPUTED_VALUE"""),45943.0)</f>
        <v>45943</v>
      </c>
      <c r="F60" s="222" t="str">
        <f>IFERROR(__xludf.DUMMYFUNCTION("""COMPUTED_VALUE"""),"Food &amp; Drink")</f>
        <v>Food &amp; Drink</v>
      </c>
      <c r="G60" s="222" t="str">
        <f>IFERROR(__xludf.DUMMYFUNCTION("""COMPUTED_VALUE"""),"Main meals")</f>
        <v>Main meals</v>
      </c>
      <c r="H60" s="245">
        <f>IFERROR(__xludf.DUMMYFUNCTION("""COMPUTED_VALUE"""),149.0)</f>
        <v>149</v>
      </c>
      <c r="I60" s="222" t="str">
        <f>IFERROR(__xludf.DUMMYFUNCTION("""COMPUTED_VALUE"""),"UOB One")</f>
        <v>UOB One</v>
      </c>
      <c r="J60" s="222" t="str">
        <f>IFERROR(__xludf.DUMMYFUNCTION("""COMPUTED_VALUE"""),"Credit Spending")</f>
        <v>Credit Spending</v>
      </c>
      <c r="K60" s="222" t="str">
        <f>IFERROR(__xludf.DUMMYFUNCTION("""COMPUTED_VALUE"""),"Subway")</f>
        <v>Subway</v>
      </c>
      <c r="L60" s="222" t="str">
        <f>IFERROR(__xludf.DUMMYFUNCTION("""COMPUTED_VALUE"""),"ข้าวหน้าเนื้อ")</f>
        <v>ข้าวหน้าเนื้อ</v>
      </c>
    </row>
    <row r="61">
      <c r="A61" s="27"/>
      <c r="B61" s="27"/>
      <c r="C61" s="27"/>
      <c r="D61" s="244"/>
      <c r="E61" s="241">
        <f>IFERROR(__xludf.DUMMYFUNCTION("""COMPUTED_VALUE"""),45943.0)</f>
        <v>45943</v>
      </c>
      <c r="F61" s="222" t="str">
        <f>IFERROR(__xludf.DUMMYFUNCTION("""COMPUTED_VALUE"""),"Service")</f>
        <v>Service</v>
      </c>
      <c r="G61" s="222" t="str">
        <f>IFERROR(__xludf.DUMMYFUNCTION("""COMPUTED_VALUE"""),"Subscription")</f>
        <v>Subscription</v>
      </c>
      <c r="H61" s="245">
        <f>IFERROR(__xludf.DUMMYFUNCTION("""COMPUTED_VALUE"""),36.0)</f>
        <v>36</v>
      </c>
      <c r="I61" s="222" t="str">
        <f>IFERROR(__xludf.DUMMYFUNCTION("""COMPUTED_VALUE"""),"UOB One")</f>
        <v>UOB One</v>
      </c>
      <c r="J61" s="222" t="str">
        <f>IFERROR(__xludf.DUMMYFUNCTION("""COMPUTED_VALUE"""),"Credit Spending")</f>
        <v>Credit Spending</v>
      </c>
      <c r="K61" s="222" t="str">
        <f>IFERROR(__xludf.DUMMYFUNCTION("""COMPUTED_VALUE"""),"YT Premium")</f>
        <v>YT Premium</v>
      </c>
      <c r="L61" s="222"/>
    </row>
    <row r="62">
      <c r="A62" s="27"/>
      <c r="B62" s="27"/>
      <c r="C62" s="27"/>
      <c r="D62" s="244"/>
      <c r="E62" s="241">
        <f>IFERROR(__xludf.DUMMYFUNCTION("""COMPUTED_VALUE"""),45943.0)</f>
        <v>45943</v>
      </c>
      <c r="F62" s="222" t="str">
        <f>IFERROR(__xludf.DUMMYFUNCTION("""COMPUTED_VALUE"""),"Food &amp; Drink")</f>
        <v>Food &amp; Drink</v>
      </c>
      <c r="G62" s="222" t="str">
        <f>IFERROR(__xludf.DUMMYFUNCTION("""COMPUTED_VALUE"""),"Main meals")</f>
        <v>Main meals</v>
      </c>
      <c r="H62" s="245">
        <f>IFERROR(__xludf.DUMMYFUNCTION("""COMPUTED_VALUE"""),60.0)</f>
        <v>60</v>
      </c>
      <c r="I62" s="222" t="str">
        <f>IFERROR(__xludf.DUMMYFUNCTION("""COMPUTED_VALUE"""),"Mobile Banking")</f>
        <v>Mobile Banking</v>
      </c>
      <c r="J62" s="222"/>
      <c r="K62" s="222"/>
      <c r="L62" s="222" t="str">
        <f>IFERROR(__xludf.DUMMYFUNCTION("""COMPUTED_VALUE"""),"กะเพรา")</f>
        <v>กะเพรา</v>
      </c>
    </row>
    <row r="63">
      <c r="A63" s="27"/>
      <c r="B63" s="27"/>
      <c r="C63" s="27"/>
      <c r="D63" s="244"/>
      <c r="E63" s="241">
        <f>IFERROR(__xludf.DUMMYFUNCTION("""COMPUTED_VALUE"""),45943.0)</f>
        <v>45943</v>
      </c>
      <c r="F63" s="222" t="str">
        <f>IFERROR(__xludf.DUMMYFUNCTION("""COMPUTED_VALUE"""),"Residence")</f>
        <v>Residence</v>
      </c>
      <c r="G63" s="222" t="str">
        <f>IFERROR(__xludf.DUMMYFUNCTION("""COMPUTED_VALUE"""),"Electricity Bill-A")</f>
        <v>Electricity Bill-A</v>
      </c>
      <c r="H63" s="245">
        <f>IFERROR(__xludf.DUMMYFUNCTION("""COMPUTED_VALUE"""),2670.31)</f>
        <v>2670.31</v>
      </c>
      <c r="I63" s="222" t="str">
        <f>IFERROR(__xludf.DUMMYFUNCTION("""COMPUTED_VALUE"""),"Mobile Banking")</f>
        <v>Mobile Banking</v>
      </c>
      <c r="J63" s="222"/>
      <c r="K63" s="222"/>
      <c r="L63" s="222"/>
    </row>
    <row r="64">
      <c r="A64" s="27"/>
      <c r="B64" s="27"/>
      <c r="C64" s="27"/>
      <c r="D64" s="244"/>
      <c r="E64" s="241">
        <f>IFERROR(__xludf.DUMMYFUNCTION("""COMPUTED_VALUE"""),45942.0)</f>
        <v>45942</v>
      </c>
      <c r="F64" s="222" t="str">
        <f>IFERROR(__xludf.DUMMYFUNCTION("""COMPUTED_VALUE"""),"Food &amp; Drink")</f>
        <v>Food &amp; Drink</v>
      </c>
      <c r="G64" s="222" t="str">
        <f>IFERROR(__xludf.DUMMYFUNCTION("""COMPUTED_VALUE"""),"Snacks")</f>
        <v>Snacks</v>
      </c>
      <c r="H64" s="245">
        <f>IFERROR(__xludf.DUMMYFUNCTION("""COMPUTED_VALUE"""),72.0)</f>
        <v>72</v>
      </c>
      <c r="I64" s="222" t="str">
        <f>IFERROR(__xludf.DUMMYFUNCTION("""COMPUTED_VALUE"""),"Mobile Banking")</f>
        <v>Mobile Banking</v>
      </c>
      <c r="J64" s="222"/>
      <c r="K64" s="222"/>
      <c r="L64" s="222" t="str">
        <f>IFERROR(__xludf.DUMMYFUNCTION("""COMPUTED_VALUE"""),"icream, น้ำเปล่า")</f>
        <v>icream, น้ำเปล่า</v>
      </c>
    </row>
    <row r="65">
      <c r="A65" s="27"/>
      <c r="B65" s="27"/>
      <c r="C65" s="27"/>
      <c r="D65" s="244"/>
      <c r="E65" s="241">
        <f>IFERROR(__xludf.DUMMYFUNCTION("""COMPUTED_VALUE"""),45942.0)</f>
        <v>45942</v>
      </c>
      <c r="F65" s="222" t="str">
        <f>IFERROR(__xludf.DUMMYFUNCTION("""COMPUTED_VALUE"""),"Food &amp; Drink")</f>
        <v>Food &amp; Drink</v>
      </c>
      <c r="G65" s="222" t="str">
        <f>IFERROR(__xludf.DUMMYFUNCTION("""COMPUTED_VALUE"""),"Snacks")</f>
        <v>Snacks</v>
      </c>
      <c r="H65" s="245">
        <f>IFERROR(__xludf.DUMMYFUNCTION("""COMPUTED_VALUE"""),140.0)</f>
        <v>140</v>
      </c>
      <c r="I65" s="222" t="str">
        <f>IFERROR(__xludf.DUMMYFUNCTION("""COMPUTED_VALUE"""),"Mobile Banking")</f>
        <v>Mobile Banking</v>
      </c>
      <c r="J65" s="222"/>
      <c r="K65" s="222" t="str">
        <f>IFERROR(__xludf.DUMMYFUNCTION("""COMPUTED_VALUE"""),"7-Eleven")</f>
        <v>7-Eleven</v>
      </c>
      <c r="L65" s="222" t="str">
        <f>IFERROR(__xludf.DUMMYFUNCTION("""COMPUTED_VALUE"""),"ขนมตอนไป outing")</f>
        <v>ขนมตอนไป outing</v>
      </c>
    </row>
    <row r="66">
      <c r="A66" s="27"/>
      <c r="B66" s="27"/>
      <c r="C66" s="27"/>
      <c r="D66" s="244"/>
      <c r="E66" s="241">
        <f>IFERROR(__xludf.DUMMYFUNCTION("""COMPUTED_VALUE"""),45941.0)</f>
        <v>45941</v>
      </c>
      <c r="F66" s="222" t="str">
        <f>IFERROR(__xludf.DUMMYFUNCTION("""COMPUTED_VALUE"""),"Food &amp; Drink")</f>
        <v>Food &amp; Drink</v>
      </c>
      <c r="G66" s="222" t="str">
        <f>IFERROR(__xludf.DUMMYFUNCTION("""COMPUTED_VALUE"""),"Drinks")</f>
        <v>Drinks</v>
      </c>
      <c r="H66" s="245">
        <f>IFERROR(__xludf.DUMMYFUNCTION("""COMPUTED_VALUE"""),95.0)</f>
        <v>95</v>
      </c>
      <c r="I66" s="222" t="str">
        <f>IFERROR(__xludf.DUMMYFUNCTION("""COMPUTED_VALUE"""),"UOB One")</f>
        <v>UOB One</v>
      </c>
      <c r="J66" s="222" t="str">
        <f>IFERROR(__xludf.DUMMYFUNCTION("""COMPUTED_VALUE"""),"Credit Spending")</f>
        <v>Credit Spending</v>
      </c>
      <c r="K66" s="222" t="str">
        <f>IFERROR(__xludf.DUMMYFUNCTION("""COMPUTED_VALUE"""),"Amazon")</f>
        <v>Amazon</v>
      </c>
      <c r="L66" s="222"/>
    </row>
    <row r="67">
      <c r="A67" s="27"/>
      <c r="B67" s="27"/>
      <c r="C67" s="27"/>
      <c r="D67" s="244"/>
      <c r="E67" s="241">
        <f>IFERROR(__xludf.DUMMYFUNCTION("""COMPUTED_VALUE"""),45941.0)</f>
        <v>45941</v>
      </c>
      <c r="F67" s="222" t="str">
        <f>IFERROR(__xludf.DUMMYFUNCTION("""COMPUTED_VALUE"""),"Items")</f>
        <v>Items</v>
      </c>
      <c r="G67" s="222" t="str">
        <f>IFERROR(__xludf.DUMMYFUNCTION("""COMPUTED_VALUE"""),"Skincare")</f>
        <v>Skincare</v>
      </c>
      <c r="H67" s="245">
        <f>IFERROR(__xludf.DUMMYFUNCTION("""COMPUTED_VALUE"""),69.0)</f>
        <v>69</v>
      </c>
      <c r="I67" s="222" t="str">
        <f>IFERROR(__xludf.DUMMYFUNCTION("""COMPUTED_VALUE"""),"Mobile Banking")</f>
        <v>Mobile Banking</v>
      </c>
      <c r="J67" s="222"/>
      <c r="K67" s="222" t="str">
        <f>IFERROR(__xludf.DUMMYFUNCTION("""COMPUTED_VALUE"""),"7-Eleven")</f>
        <v>7-Eleven</v>
      </c>
      <c r="L67" s="222" t="str">
        <f>IFERROR(__xludf.DUMMYFUNCTION("""COMPUTED_VALUE"""),"moiturizer")</f>
        <v>moiturizer</v>
      </c>
    </row>
    <row r="68">
      <c r="A68" s="27"/>
      <c r="B68" s="27"/>
      <c r="C68" s="27"/>
      <c r="D68" s="244"/>
      <c r="E68" s="241">
        <f>IFERROR(__xludf.DUMMYFUNCTION("""COMPUTED_VALUE"""),45940.0)</f>
        <v>45940</v>
      </c>
      <c r="F68" s="222" t="str">
        <f>IFERROR(__xludf.DUMMYFUNCTION("""COMPUTED_VALUE"""),"Transportation")</f>
        <v>Transportation</v>
      </c>
      <c r="G68" s="222" t="str">
        <f>IFERROR(__xludf.DUMMYFUNCTION("""COMPUTED_VALUE"""),"Fuel")</f>
        <v>Fuel</v>
      </c>
      <c r="H68" s="245">
        <f>IFERROR(__xludf.DUMMYFUNCTION("""COMPUTED_VALUE"""),750.0)</f>
        <v>750</v>
      </c>
      <c r="I68" s="222" t="str">
        <f>IFERROR(__xludf.DUMMYFUNCTION("""COMPUTED_VALUE"""),"TTB So Smart")</f>
        <v>TTB So Smart</v>
      </c>
      <c r="J68" s="222" t="str">
        <f>IFERROR(__xludf.DUMMYFUNCTION("""COMPUTED_VALUE"""),"Credit Payment")</f>
        <v>Credit Payment</v>
      </c>
      <c r="K68" s="222" t="str">
        <f>IFERROR(__xludf.DUMMYFUNCTION("""COMPUTED_VALUE"""),"Caltex")</f>
        <v>Caltex</v>
      </c>
      <c r="L68" s="222"/>
    </row>
    <row r="69">
      <c r="A69" s="27"/>
      <c r="B69" s="27"/>
      <c r="C69" s="27"/>
      <c r="D69" s="244"/>
      <c r="E69" s="241">
        <f>IFERROR(__xludf.DUMMYFUNCTION("""COMPUTED_VALUE"""),45940.0)</f>
        <v>45940</v>
      </c>
      <c r="F69" s="222" t="str">
        <f>IFERROR(__xludf.DUMMYFUNCTION("""COMPUTED_VALUE"""),"Food &amp; Drink")</f>
        <v>Food &amp; Drink</v>
      </c>
      <c r="G69" s="222" t="str">
        <f>IFERROR(__xludf.DUMMYFUNCTION("""COMPUTED_VALUE"""),"Main meals")</f>
        <v>Main meals</v>
      </c>
      <c r="H69" s="245">
        <f>IFERROR(__xludf.DUMMYFUNCTION("""COMPUTED_VALUE"""),95.0)</f>
        <v>95</v>
      </c>
      <c r="I69" s="222" t="str">
        <f>IFERROR(__xludf.DUMMYFUNCTION("""COMPUTED_VALUE"""),"Mobile Banking")</f>
        <v>Mobile Banking</v>
      </c>
      <c r="J69" s="222"/>
      <c r="K69" s="222"/>
      <c r="L69" s="222" t="str">
        <f>IFERROR(__xludf.DUMMYFUNCTION("""COMPUTED_VALUE"""),"กะเพรา")</f>
        <v>กะเพรา</v>
      </c>
    </row>
    <row r="70">
      <c r="A70" s="27"/>
      <c r="B70" s="27"/>
      <c r="C70" s="27"/>
      <c r="D70" s="244"/>
      <c r="E70" s="241">
        <f>IFERROR(__xludf.DUMMYFUNCTION("""COMPUTED_VALUE"""),45939.0)</f>
        <v>45939</v>
      </c>
      <c r="F70" s="222" t="str">
        <f>IFERROR(__xludf.DUMMYFUNCTION("""COMPUTED_VALUE"""),"Food &amp; Drink")</f>
        <v>Food &amp; Drink</v>
      </c>
      <c r="G70" s="222" t="str">
        <f>IFERROR(__xludf.DUMMYFUNCTION("""COMPUTED_VALUE"""),"Groceries")</f>
        <v>Groceries</v>
      </c>
      <c r="H70" s="245">
        <f>IFERROR(__xludf.DUMMYFUNCTION("""COMPUTED_VALUE"""),179.0)</f>
        <v>179</v>
      </c>
      <c r="I70" s="222" t="str">
        <f>IFERROR(__xludf.DUMMYFUNCTION("""COMPUTED_VALUE"""),"Mobile Banking")</f>
        <v>Mobile Banking</v>
      </c>
      <c r="J70" s="222"/>
      <c r="K70" s="222"/>
      <c r="L70" s="222" t="str">
        <f>IFERROR(__xludf.DUMMYFUNCTION("""COMPUTED_VALUE"""),"ผัก, กระดูกหมู, ข้าวโพด")</f>
        <v>ผัก, กระดูกหมู, ข้าวโพด</v>
      </c>
    </row>
    <row r="71">
      <c r="A71" s="27"/>
      <c r="B71" s="27"/>
      <c r="C71" s="27"/>
      <c r="D71" s="244"/>
      <c r="E71" s="241">
        <f>IFERROR(__xludf.DUMMYFUNCTION("""COMPUTED_VALUE"""),45939.0)</f>
        <v>45939</v>
      </c>
      <c r="F71" s="222" t="str">
        <f>IFERROR(__xludf.DUMMYFUNCTION("""COMPUTED_VALUE"""),"Food &amp; Drink")</f>
        <v>Food &amp; Drink</v>
      </c>
      <c r="G71" s="222" t="str">
        <f>IFERROR(__xludf.DUMMYFUNCTION("""COMPUTED_VALUE"""),"Main meals")</f>
        <v>Main meals</v>
      </c>
      <c r="H71" s="245">
        <f>IFERROR(__xludf.DUMMYFUNCTION("""COMPUTED_VALUE"""),125.0)</f>
        <v>125</v>
      </c>
      <c r="I71" s="222" t="str">
        <f>IFERROR(__xludf.DUMMYFUNCTION("""COMPUTED_VALUE"""),"Mobile Banking")</f>
        <v>Mobile Banking</v>
      </c>
      <c r="J71" s="222"/>
      <c r="K71" s="222"/>
      <c r="L71" s="222" t="str">
        <f>IFERROR(__xludf.DUMMYFUNCTION("""COMPUTED_VALUE"""),"ไส้กรอก, หมูกรอบ")</f>
        <v>ไส้กรอก, หมูกรอบ</v>
      </c>
    </row>
    <row r="72">
      <c r="A72" s="27"/>
      <c r="B72" s="27"/>
      <c r="C72" s="27"/>
      <c r="D72" s="244"/>
      <c r="E72" s="241">
        <f>IFERROR(__xludf.DUMMYFUNCTION("""COMPUTED_VALUE"""),45938.0)</f>
        <v>45938</v>
      </c>
      <c r="F72" s="222" t="str">
        <f>IFERROR(__xludf.DUMMYFUNCTION("""COMPUTED_VALUE"""),"Food &amp; Drink")</f>
        <v>Food &amp; Drink</v>
      </c>
      <c r="G72" s="222" t="str">
        <f>IFERROR(__xludf.DUMMYFUNCTION("""COMPUTED_VALUE"""),"Snacks")</f>
        <v>Snacks</v>
      </c>
      <c r="H72" s="245">
        <f>IFERROR(__xludf.DUMMYFUNCTION("""COMPUTED_VALUE"""),80.0)</f>
        <v>80</v>
      </c>
      <c r="I72" s="222" t="str">
        <f>IFERROR(__xludf.DUMMYFUNCTION("""COMPUTED_VALUE"""),"Mobile Banking")</f>
        <v>Mobile Banking</v>
      </c>
      <c r="J72" s="222"/>
      <c r="K72" s="222"/>
      <c r="L72" s="222" t="str">
        <f>IFERROR(__xludf.DUMMYFUNCTION("""COMPUTED_VALUE"""),"ขนมจีบซาลาเปา")</f>
        <v>ขนมจีบซาลาเปา</v>
      </c>
    </row>
    <row r="73">
      <c r="A73" s="27"/>
      <c r="B73" s="27"/>
      <c r="C73" s="27"/>
      <c r="D73" s="244"/>
      <c r="E73" s="241">
        <f>IFERROR(__xludf.DUMMYFUNCTION("""COMPUTED_VALUE"""),45938.0)</f>
        <v>45938</v>
      </c>
      <c r="F73" s="222" t="str">
        <f>IFERROR(__xludf.DUMMYFUNCTION("""COMPUTED_VALUE"""),"Food &amp; Drink")</f>
        <v>Food &amp; Drink</v>
      </c>
      <c r="G73" s="222" t="str">
        <f>IFERROR(__xludf.DUMMYFUNCTION("""COMPUTED_VALUE"""),"Drinks")</f>
        <v>Drinks</v>
      </c>
      <c r="H73" s="245">
        <f>IFERROR(__xludf.DUMMYFUNCTION("""COMPUTED_VALUE"""),113.0)</f>
        <v>113</v>
      </c>
      <c r="I73" s="222" t="str">
        <f>IFERROR(__xludf.DUMMYFUNCTION("""COMPUTED_VALUE"""),"Mobile Banking")</f>
        <v>Mobile Banking</v>
      </c>
      <c r="J73" s="222"/>
      <c r="K73" s="222" t="str">
        <f>IFERROR(__xludf.DUMMYFUNCTION("""COMPUTED_VALUE"""),"7-Eleven")</f>
        <v>7-Eleven</v>
      </c>
      <c r="L73" s="222" t="str">
        <f>IFERROR(__xludf.DUMMYFUNCTION("""COMPUTED_VALUE"""),"pepsi, นม")</f>
        <v>pepsi, นม</v>
      </c>
    </row>
    <row r="74">
      <c r="A74" s="27"/>
      <c r="B74" s="27"/>
      <c r="C74" s="27"/>
      <c r="D74" s="244"/>
      <c r="E74" s="241">
        <f>IFERROR(__xludf.DUMMYFUNCTION("""COMPUTED_VALUE"""),45938.0)</f>
        <v>45938</v>
      </c>
      <c r="F74" s="222" t="str">
        <f>IFERROR(__xludf.DUMMYFUNCTION("""COMPUTED_VALUE"""),"Food &amp; Drink")</f>
        <v>Food &amp; Drink</v>
      </c>
      <c r="G74" s="222" t="str">
        <f>IFERROR(__xludf.DUMMYFUNCTION("""COMPUTED_VALUE"""),"Main meals")</f>
        <v>Main meals</v>
      </c>
      <c r="H74" s="245">
        <f>IFERROR(__xludf.DUMMYFUNCTION("""COMPUTED_VALUE"""),106.0)</f>
        <v>106</v>
      </c>
      <c r="I74" s="222" t="str">
        <f>IFERROR(__xludf.DUMMYFUNCTION("""COMPUTED_VALUE"""),"Mobile Banking")</f>
        <v>Mobile Banking</v>
      </c>
      <c r="J74" s="222"/>
      <c r="K74" s="222" t="str">
        <f>IFERROR(__xludf.DUMMYFUNCTION("""COMPUTED_VALUE"""),"7-Eleven")</f>
        <v>7-Eleven</v>
      </c>
      <c r="L74" s="222" t="str">
        <f>IFERROR(__xludf.DUMMYFUNCTION("""COMPUTED_VALUE"""),"ไส้กรอก, สลัดอกไก่")</f>
        <v>ไส้กรอก, สลัดอกไก่</v>
      </c>
    </row>
    <row r="75">
      <c r="A75" s="27"/>
      <c r="B75" s="27"/>
      <c r="C75" s="27"/>
      <c r="D75" s="244"/>
      <c r="E75" s="241">
        <f>IFERROR(__xludf.DUMMYFUNCTION("""COMPUTED_VALUE"""),45937.0)</f>
        <v>45937</v>
      </c>
      <c r="F75" s="222" t="str">
        <f>IFERROR(__xludf.DUMMYFUNCTION("""COMPUTED_VALUE"""),"Food &amp; Drink")</f>
        <v>Food &amp; Drink</v>
      </c>
      <c r="G75" s="222" t="str">
        <f>IFERROR(__xludf.DUMMYFUNCTION("""COMPUTED_VALUE"""),"Drinks")</f>
        <v>Drinks</v>
      </c>
      <c r="H75" s="245">
        <f>IFERROR(__xludf.DUMMYFUNCTION("""COMPUTED_VALUE"""),85.0)</f>
        <v>85</v>
      </c>
      <c r="I75" s="222" t="str">
        <f>IFERROR(__xludf.DUMMYFUNCTION("""COMPUTED_VALUE"""),"UOB One")</f>
        <v>UOB One</v>
      </c>
      <c r="J75" s="222" t="str">
        <f>IFERROR(__xludf.DUMMYFUNCTION("""COMPUTED_VALUE"""),"Credit Spending")</f>
        <v>Credit Spending</v>
      </c>
      <c r="K75" s="222"/>
      <c r="L75" s="222" t="str">
        <f>IFERROR(__xludf.DUMMYFUNCTION("""COMPUTED_VALUE"""),"ชานม Koi")</f>
        <v>ชานม Koi</v>
      </c>
    </row>
    <row r="76">
      <c r="A76" s="27"/>
      <c r="B76" s="27"/>
      <c r="C76" s="27"/>
      <c r="D76" s="244"/>
      <c r="E76" s="241">
        <f>IFERROR(__xludf.DUMMYFUNCTION("""COMPUTED_VALUE"""),45937.0)</f>
        <v>45937</v>
      </c>
      <c r="F76" s="222" t="str">
        <f>IFERROR(__xludf.DUMMYFUNCTION("""COMPUTED_VALUE"""),"Food &amp; Drink")</f>
        <v>Food &amp; Drink</v>
      </c>
      <c r="G76" s="222" t="str">
        <f>IFERROR(__xludf.DUMMYFUNCTION("""COMPUTED_VALUE"""),"Main meals")</f>
        <v>Main meals</v>
      </c>
      <c r="H76" s="245">
        <f>IFERROR(__xludf.DUMMYFUNCTION("""COMPUTED_VALUE"""),219.0)</f>
        <v>219</v>
      </c>
      <c r="I76" s="222" t="str">
        <f>IFERROR(__xludf.DUMMYFUNCTION("""COMPUTED_VALUE"""),"Mobile Banking")</f>
        <v>Mobile Banking</v>
      </c>
      <c r="J76" s="222"/>
      <c r="K76" s="222"/>
      <c r="L76" s="222" t="str">
        <f>IFERROR(__xludf.DUMMYFUNCTION("""COMPUTED_VALUE"""),"Babigon")</f>
        <v>Babigon</v>
      </c>
    </row>
    <row r="77">
      <c r="A77" s="27"/>
      <c r="B77" s="27"/>
      <c r="C77" s="27"/>
      <c r="D77" s="244"/>
      <c r="E77" s="241">
        <f>IFERROR(__xludf.DUMMYFUNCTION("""COMPUTED_VALUE"""),45937.0)</f>
        <v>45937</v>
      </c>
      <c r="F77" s="222" t="str">
        <f>IFERROR(__xludf.DUMMYFUNCTION("""COMPUTED_VALUE"""),"Items")</f>
        <v>Items</v>
      </c>
      <c r="G77" s="222" t="str">
        <f>IFERROR(__xludf.DUMMYFUNCTION("""COMPUTED_VALUE"""),"Personal Items")</f>
        <v>Personal Items</v>
      </c>
      <c r="H77" s="245">
        <f>IFERROR(__xludf.DUMMYFUNCTION("""COMPUTED_VALUE"""),250.0)</f>
        <v>250</v>
      </c>
      <c r="I77" s="222" t="str">
        <f>IFERROR(__xludf.DUMMYFUNCTION("""COMPUTED_VALUE"""),"Mobile Banking")</f>
        <v>Mobile Banking</v>
      </c>
      <c r="J77" s="222"/>
      <c r="K77" s="222"/>
      <c r="L77" s="222" t="str">
        <f>IFERROR(__xludf.DUMMYFUNCTION("""COMPUTED_VALUE"""),"น้ำหอม kamakkamen")</f>
        <v>น้ำหอม kamakkamen</v>
      </c>
    </row>
    <row r="78">
      <c r="A78" s="27"/>
      <c r="B78" s="27"/>
      <c r="C78" s="27"/>
      <c r="D78" s="244"/>
      <c r="E78" s="241">
        <f>IFERROR(__xludf.DUMMYFUNCTION("""COMPUTED_VALUE"""),45937.0)</f>
        <v>45937</v>
      </c>
      <c r="F78" s="222" t="str">
        <f>IFERROR(__xludf.DUMMYFUNCTION("""COMPUTED_VALUE"""),"Health")</f>
        <v>Health</v>
      </c>
      <c r="G78" s="222" t="str">
        <f>IFERROR(__xludf.DUMMYFUNCTION("""COMPUTED_VALUE"""),"Others")</f>
        <v>Others</v>
      </c>
      <c r="H78" s="245">
        <f>IFERROR(__xludf.DUMMYFUNCTION("""COMPUTED_VALUE"""),40.0)</f>
        <v>40</v>
      </c>
      <c r="I78" s="222" t="str">
        <f>IFERROR(__xludf.DUMMYFUNCTION("""COMPUTED_VALUE"""),"Mobile Banking")</f>
        <v>Mobile Banking</v>
      </c>
      <c r="J78" s="222"/>
      <c r="K78" s="222" t="str">
        <f>IFERROR(__xludf.DUMMYFUNCTION("""COMPUTED_VALUE"""),"7-Eleven")</f>
        <v>7-Eleven</v>
      </c>
      <c r="L78" s="222" t="str">
        <f>IFERROR(__xludf.DUMMYFUNCTION("""COMPUTED_VALUE"""),"ยาลดกรด")</f>
        <v>ยาลดกรด</v>
      </c>
    </row>
    <row r="79">
      <c r="A79" s="27"/>
      <c r="B79" s="27"/>
      <c r="C79" s="27"/>
      <c r="D79" s="244"/>
      <c r="E79" s="241">
        <f>IFERROR(__xludf.DUMMYFUNCTION("""COMPUTED_VALUE"""),45936.0)</f>
        <v>45936</v>
      </c>
      <c r="F79" s="222" t="str">
        <f>IFERROR(__xludf.DUMMYFUNCTION("""COMPUTED_VALUE"""),"Food &amp; Drink")</f>
        <v>Food &amp; Drink</v>
      </c>
      <c r="G79" s="222" t="str">
        <f>IFERROR(__xludf.DUMMYFUNCTION("""COMPUTED_VALUE"""),"Main meals")</f>
        <v>Main meals</v>
      </c>
      <c r="H79" s="245">
        <f>IFERROR(__xludf.DUMMYFUNCTION("""COMPUTED_VALUE"""),169.0)</f>
        <v>169</v>
      </c>
      <c r="I79" s="222" t="str">
        <f>IFERROR(__xludf.DUMMYFUNCTION("""COMPUTED_VALUE"""),"TTB So Smart")</f>
        <v>TTB So Smart</v>
      </c>
      <c r="J79" s="222" t="str">
        <f>IFERROR(__xludf.DUMMYFUNCTION("""COMPUTED_VALUE"""),"Credit Payment")</f>
        <v>Credit Payment</v>
      </c>
      <c r="K79" s="222" t="str">
        <f>IFERROR(__xludf.DUMMYFUNCTION("""COMPUTED_VALUE"""),"Noodle")</f>
        <v>Noodle</v>
      </c>
      <c r="L79" s="222"/>
    </row>
    <row r="80">
      <c r="A80" s="27"/>
      <c r="B80" s="27"/>
      <c r="C80" s="27"/>
      <c r="D80" s="244"/>
      <c r="E80" s="241">
        <f>IFERROR(__xludf.DUMMYFUNCTION("""COMPUTED_VALUE"""),45936.0)</f>
        <v>45936</v>
      </c>
      <c r="F80" s="222" t="str">
        <f>IFERROR(__xludf.DUMMYFUNCTION("""COMPUTED_VALUE"""),"Service")</f>
        <v>Service</v>
      </c>
      <c r="G80" s="222" t="str">
        <f>IFERROR(__xludf.DUMMYFUNCTION("""COMPUTED_VALUE"""),"Subscription")</f>
        <v>Subscription</v>
      </c>
      <c r="H80" s="245">
        <f>IFERROR(__xludf.DUMMYFUNCTION("""COMPUTED_VALUE"""),19.0)</f>
        <v>19</v>
      </c>
      <c r="I80" s="222" t="str">
        <f>IFERROR(__xludf.DUMMYFUNCTION("""COMPUTED_VALUE"""),"UOB One")</f>
        <v>UOB One</v>
      </c>
      <c r="J80" s="222" t="str">
        <f>IFERROR(__xludf.DUMMYFUNCTION("""COMPUTED_VALUE"""),"Credit Spending")</f>
        <v>Credit Spending</v>
      </c>
      <c r="K80" s="222"/>
      <c r="L80" s="222" t="str">
        <f>IFERROR(__xludf.DUMMYFUNCTION("""COMPUTED_VALUE"""),"Subscribe K.Earthh Evans")</f>
        <v>Subscribe K.Earthh Evans</v>
      </c>
    </row>
    <row r="81">
      <c r="A81" s="27"/>
      <c r="B81" s="27"/>
      <c r="C81" s="27"/>
      <c r="D81" s="244"/>
      <c r="E81" s="241">
        <f>IFERROR(__xludf.DUMMYFUNCTION("""COMPUTED_VALUE"""),45936.0)</f>
        <v>45936</v>
      </c>
      <c r="F81" s="222" t="str">
        <f>IFERROR(__xludf.DUMMYFUNCTION("""COMPUTED_VALUE"""),"Food &amp; Drink")</f>
        <v>Food &amp; Drink</v>
      </c>
      <c r="G81" s="222" t="str">
        <f>IFERROR(__xludf.DUMMYFUNCTION("""COMPUTED_VALUE"""),"Snacks")</f>
        <v>Snacks</v>
      </c>
      <c r="H81" s="245">
        <f>IFERROR(__xludf.DUMMYFUNCTION("""COMPUTED_VALUE"""),40.0)</f>
        <v>40</v>
      </c>
      <c r="I81" s="222" t="str">
        <f>IFERROR(__xludf.DUMMYFUNCTION("""COMPUTED_VALUE"""),"Mobile Banking")</f>
        <v>Mobile Banking</v>
      </c>
      <c r="J81" s="222"/>
      <c r="K81" s="222"/>
      <c r="L81" s="222" t="str">
        <f>IFERROR(__xludf.DUMMYFUNCTION("""COMPUTED_VALUE"""),"ลูกชิ้น")</f>
        <v>ลูกชิ้น</v>
      </c>
    </row>
    <row r="82">
      <c r="A82" s="27"/>
      <c r="B82" s="27"/>
      <c r="C82" s="27"/>
      <c r="D82" s="244"/>
      <c r="E82" s="241">
        <f>IFERROR(__xludf.DUMMYFUNCTION("""COMPUTED_VALUE"""),45936.0)</f>
        <v>45936</v>
      </c>
      <c r="F82" s="222" t="str">
        <f>IFERROR(__xludf.DUMMYFUNCTION("""COMPUTED_VALUE"""),"Food &amp; Drink")</f>
        <v>Food &amp; Drink</v>
      </c>
      <c r="G82" s="222" t="str">
        <f>IFERROR(__xludf.DUMMYFUNCTION("""COMPUTED_VALUE"""),"Main meals")</f>
        <v>Main meals</v>
      </c>
      <c r="H82" s="245">
        <f>IFERROR(__xludf.DUMMYFUNCTION("""COMPUTED_VALUE"""),50.0)</f>
        <v>50</v>
      </c>
      <c r="I82" s="222" t="str">
        <f>IFERROR(__xludf.DUMMYFUNCTION("""COMPUTED_VALUE"""),"Mobile Banking")</f>
        <v>Mobile Banking</v>
      </c>
      <c r="J82" s="222"/>
      <c r="K82" s="222" t="str">
        <f>IFERROR(__xludf.DUMMYFUNCTION("""COMPUTED_VALUE"""),"Hainanese chicken rice")</f>
        <v>Hainanese chicken rice</v>
      </c>
      <c r="L82" s="222"/>
    </row>
    <row r="83">
      <c r="A83" s="27"/>
      <c r="B83" s="27"/>
      <c r="C83" s="27"/>
      <c r="D83" s="244"/>
      <c r="E83" s="241">
        <f>IFERROR(__xludf.DUMMYFUNCTION("""COMPUTED_VALUE"""),45936.0)</f>
        <v>45936</v>
      </c>
      <c r="F83" s="222" t="str">
        <f>IFERROR(__xludf.DUMMYFUNCTION("""COMPUTED_VALUE"""),"Food &amp; Drink")</f>
        <v>Food &amp; Drink</v>
      </c>
      <c r="G83" s="222" t="str">
        <f>IFERROR(__xludf.DUMMYFUNCTION("""COMPUTED_VALUE"""),"Alcohol")</f>
        <v>Alcohol</v>
      </c>
      <c r="H83" s="245">
        <f>IFERROR(__xludf.DUMMYFUNCTION("""COMPUTED_VALUE"""),62.0)</f>
        <v>62</v>
      </c>
      <c r="I83" s="222" t="str">
        <f>IFERROR(__xludf.DUMMYFUNCTION("""COMPUTED_VALUE"""),"Mobile Banking")</f>
        <v>Mobile Banking</v>
      </c>
      <c r="J83" s="222"/>
      <c r="K83" s="222" t="str">
        <f>IFERROR(__xludf.DUMMYFUNCTION("""COMPUTED_VALUE"""),"7-Eleven")</f>
        <v>7-Eleven</v>
      </c>
      <c r="L83" s="222"/>
    </row>
    <row r="84">
      <c r="A84" s="27"/>
      <c r="B84" s="27"/>
      <c r="C84" s="27"/>
      <c r="D84" s="244"/>
      <c r="E84" s="241">
        <f>IFERROR(__xludf.DUMMYFUNCTION("""COMPUTED_VALUE"""),45935.0)</f>
        <v>45935</v>
      </c>
      <c r="F84" s="222" t="str">
        <f>IFERROR(__xludf.DUMMYFUNCTION("""COMPUTED_VALUE"""),"Food &amp; Drink")</f>
        <v>Food &amp; Drink</v>
      </c>
      <c r="G84" s="222" t="str">
        <f>IFERROR(__xludf.DUMMYFUNCTION("""COMPUTED_VALUE"""),"Groceries")</f>
        <v>Groceries</v>
      </c>
      <c r="H84" s="245">
        <f>IFERROR(__xludf.DUMMYFUNCTION("""COMPUTED_VALUE"""),60.0)</f>
        <v>60</v>
      </c>
      <c r="I84" s="222" t="str">
        <f>IFERROR(__xludf.DUMMYFUNCTION("""COMPUTED_VALUE"""),"Mobile Banking")</f>
        <v>Mobile Banking</v>
      </c>
      <c r="J84" s="222"/>
      <c r="K84" s="222"/>
      <c r="L84" s="222" t="str">
        <f>IFERROR(__xludf.DUMMYFUNCTION("""COMPUTED_VALUE"""),"มะพร้าว")</f>
        <v>มะพร้าว</v>
      </c>
    </row>
    <row r="85">
      <c r="A85" s="27"/>
      <c r="B85" s="27"/>
      <c r="C85" s="27"/>
      <c r="D85" s="244"/>
      <c r="E85" s="241">
        <f>IFERROR(__xludf.DUMMYFUNCTION("""COMPUTED_VALUE"""),45935.0)</f>
        <v>45935</v>
      </c>
      <c r="F85" s="222" t="str">
        <f>IFERROR(__xludf.DUMMYFUNCTION("""COMPUTED_VALUE"""),"Food &amp; Drink")</f>
        <v>Food &amp; Drink</v>
      </c>
      <c r="G85" s="222" t="str">
        <f>IFERROR(__xludf.DUMMYFUNCTION("""COMPUTED_VALUE"""),"Main meals")</f>
        <v>Main meals</v>
      </c>
      <c r="H85" s="245">
        <f>IFERROR(__xludf.DUMMYFUNCTION("""COMPUTED_VALUE"""),25.0)</f>
        <v>25</v>
      </c>
      <c r="I85" s="222" t="str">
        <f>IFERROR(__xludf.DUMMYFUNCTION("""COMPUTED_VALUE"""),"Mobile Banking")</f>
        <v>Mobile Banking</v>
      </c>
      <c r="J85" s="222"/>
      <c r="K85" s="222"/>
      <c r="L85" s="222" t="str">
        <f>IFERROR(__xludf.DUMMYFUNCTION("""COMPUTED_VALUE"""),"ข้าวผัด")</f>
        <v>ข้าวผัด</v>
      </c>
    </row>
    <row r="86">
      <c r="A86" s="27"/>
      <c r="B86" s="27"/>
      <c r="C86" s="27"/>
      <c r="D86" s="244"/>
      <c r="E86" s="241">
        <f>IFERROR(__xludf.DUMMYFUNCTION("""COMPUTED_VALUE"""),45935.0)</f>
        <v>45935</v>
      </c>
      <c r="F86" s="222" t="str">
        <f>IFERROR(__xludf.DUMMYFUNCTION("""COMPUTED_VALUE"""),"Food &amp; Drink")</f>
        <v>Food &amp; Drink</v>
      </c>
      <c r="G86" s="222" t="str">
        <f>IFERROR(__xludf.DUMMYFUNCTION("""COMPUTED_VALUE"""),"Main meals")</f>
        <v>Main meals</v>
      </c>
      <c r="H86" s="245">
        <f>IFERROR(__xludf.DUMMYFUNCTION("""COMPUTED_VALUE"""),284.0)</f>
        <v>284</v>
      </c>
      <c r="I86" s="222" t="str">
        <f>IFERROR(__xludf.DUMMYFUNCTION("""COMPUTED_VALUE"""),"Mobile Banking")</f>
        <v>Mobile Banking</v>
      </c>
      <c r="J86" s="222"/>
      <c r="K86" s="222"/>
      <c r="L86" s="222" t="str">
        <f>IFERROR(__xludf.DUMMYFUNCTION("""COMPUTED_VALUE"""),"หมูกะทะ")</f>
        <v>หมูกะทะ</v>
      </c>
    </row>
    <row r="87">
      <c r="A87" s="27"/>
      <c r="B87" s="27"/>
      <c r="C87" s="27"/>
      <c r="D87" s="244"/>
      <c r="E87" s="241">
        <f>IFERROR(__xludf.DUMMYFUNCTION("""COMPUTED_VALUE"""),45934.0)</f>
        <v>45934</v>
      </c>
      <c r="F87" s="222" t="str">
        <f>IFERROR(__xludf.DUMMYFUNCTION("""COMPUTED_VALUE"""),"Transportation")</f>
        <v>Transportation</v>
      </c>
      <c r="G87" s="222" t="str">
        <f>IFERROR(__xludf.DUMMYFUNCTION("""COMPUTED_VALUE"""),"Fuel")</f>
        <v>Fuel</v>
      </c>
      <c r="H87" s="245">
        <f>IFERROR(__xludf.DUMMYFUNCTION("""COMPUTED_VALUE"""),750.0)</f>
        <v>750</v>
      </c>
      <c r="I87" s="222" t="str">
        <f>IFERROR(__xludf.DUMMYFUNCTION("""COMPUTED_VALUE"""),"TTB So Smart")</f>
        <v>TTB So Smart</v>
      </c>
      <c r="J87" s="222" t="str">
        <f>IFERROR(__xludf.DUMMYFUNCTION("""COMPUTED_VALUE"""),"Credit Payment")</f>
        <v>Credit Payment</v>
      </c>
      <c r="K87" s="222" t="str">
        <f>IFERROR(__xludf.DUMMYFUNCTION("""COMPUTED_VALUE"""),"Caltex")</f>
        <v>Caltex</v>
      </c>
      <c r="L87" s="222"/>
    </row>
    <row r="88">
      <c r="A88" s="27"/>
      <c r="B88" s="27"/>
      <c r="C88" s="27"/>
      <c r="D88" s="244"/>
      <c r="E88" s="241">
        <f>IFERROR(__xludf.DUMMYFUNCTION("""COMPUTED_VALUE"""),45934.0)</f>
        <v>45934</v>
      </c>
      <c r="F88" s="222" t="str">
        <f>IFERROR(__xludf.DUMMYFUNCTION("""COMPUTED_VALUE"""),"Food &amp; Drink")</f>
        <v>Food &amp; Drink</v>
      </c>
      <c r="G88" s="222" t="str">
        <f>IFERROR(__xludf.DUMMYFUNCTION("""COMPUTED_VALUE"""),"Main meals")</f>
        <v>Main meals</v>
      </c>
      <c r="H88" s="245">
        <f>IFERROR(__xludf.DUMMYFUNCTION("""COMPUTED_VALUE"""),169.0)</f>
        <v>169</v>
      </c>
      <c r="I88" s="222" t="str">
        <f>IFERROR(__xludf.DUMMYFUNCTION("""COMPUTED_VALUE"""),"UOB One")</f>
        <v>UOB One</v>
      </c>
      <c r="J88" s="222" t="str">
        <f>IFERROR(__xludf.DUMMYFUNCTION("""COMPUTED_VALUE"""),"Credit Spending")</f>
        <v>Credit Spending</v>
      </c>
      <c r="K88" s="222"/>
      <c r="L88" s="222" t="str">
        <f>IFERROR(__xludf.DUMMYFUNCTION("""COMPUTED_VALUE"""),"Taco Bell")</f>
        <v>Taco Bell</v>
      </c>
    </row>
    <row r="89">
      <c r="A89" s="27"/>
      <c r="B89" s="27"/>
      <c r="C89" s="27"/>
      <c r="D89" s="244"/>
      <c r="E89" s="241">
        <f>IFERROR(__xludf.DUMMYFUNCTION("""COMPUTED_VALUE"""),45933.0)</f>
        <v>45933</v>
      </c>
      <c r="F89" s="222" t="str">
        <f>IFERROR(__xludf.DUMMYFUNCTION("""COMPUTED_VALUE"""),"Food &amp; Drink")</f>
        <v>Food &amp; Drink</v>
      </c>
      <c r="G89" s="222" t="str">
        <f>IFERROR(__xludf.DUMMYFUNCTION("""COMPUTED_VALUE"""),"Drinks")</f>
        <v>Drinks</v>
      </c>
      <c r="H89" s="245">
        <f>IFERROR(__xludf.DUMMYFUNCTION("""COMPUTED_VALUE"""),35.0)</f>
        <v>35</v>
      </c>
      <c r="I89" s="222" t="str">
        <f>IFERROR(__xludf.DUMMYFUNCTION("""COMPUTED_VALUE"""),"Mobile Banking")</f>
        <v>Mobile Banking</v>
      </c>
      <c r="J89" s="222"/>
      <c r="K89" s="222"/>
      <c r="L89" s="222" t="str">
        <f>IFERROR(__xludf.DUMMYFUNCTION("""COMPUTED_VALUE"""),"ชานม")</f>
        <v>ชานม</v>
      </c>
    </row>
    <row r="90">
      <c r="A90" s="27"/>
      <c r="B90" s="27"/>
      <c r="C90" s="27"/>
      <c r="D90" s="244"/>
      <c r="E90" s="241">
        <f>IFERROR(__xludf.DUMMYFUNCTION("""COMPUTED_VALUE"""),45933.0)</f>
        <v>45933</v>
      </c>
      <c r="F90" s="222" t="str">
        <f>IFERROR(__xludf.DUMMYFUNCTION("""COMPUTED_VALUE"""),"Food &amp; Drink")</f>
        <v>Food &amp; Drink</v>
      </c>
      <c r="G90" s="222" t="str">
        <f>IFERROR(__xludf.DUMMYFUNCTION("""COMPUTED_VALUE"""),"Groceries")</f>
        <v>Groceries</v>
      </c>
      <c r="H90" s="245">
        <f>IFERROR(__xludf.DUMMYFUNCTION("""COMPUTED_VALUE"""),41.0)</f>
        <v>41</v>
      </c>
      <c r="I90" s="222" t="str">
        <f>IFERROR(__xludf.DUMMYFUNCTION("""COMPUTED_VALUE"""),"TTB So Smart")</f>
        <v>TTB So Smart</v>
      </c>
      <c r="J90" s="222" t="str">
        <f>IFERROR(__xludf.DUMMYFUNCTION("""COMPUTED_VALUE"""),"Credit Payment")</f>
        <v>Credit Payment</v>
      </c>
      <c r="K90" s="222" t="str">
        <f>IFERROR(__xludf.DUMMYFUNCTION("""COMPUTED_VALUE"""),"Lotus")</f>
        <v>Lotus</v>
      </c>
      <c r="L90" s="222" t="str">
        <f>IFERROR(__xludf.DUMMYFUNCTION("""COMPUTED_VALUE"""),"หมู")</f>
        <v>หมู</v>
      </c>
    </row>
    <row r="91">
      <c r="A91" s="27"/>
      <c r="B91" s="27"/>
      <c r="C91" s="27"/>
      <c r="D91" s="244"/>
      <c r="E91" s="241">
        <f>IFERROR(__xludf.DUMMYFUNCTION("""COMPUTED_VALUE"""),45933.0)</f>
        <v>45933</v>
      </c>
      <c r="F91" s="222" t="str">
        <f>IFERROR(__xludf.DUMMYFUNCTION("""COMPUTED_VALUE"""),"Food &amp; Drink")</f>
        <v>Food &amp; Drink</v>
      </c>
      <c r="G91" s="222" t="str">
        <f>IFERROR(__xludf.DUMMYFUNCTION("""COMPUTED_VALUE"""),"Snacks")</f>
        <v>Snacks</v>
      </c>
      <c r="H91" s="245">
        <f>IFERROR(__xludf.DUMMYFUNCTION("""COMPUTED_VALUE"""),39.0)</f>
        <v>39</v>
      </c>
      <c r="I91" s="222" t="str">
        <f>IFERROR(__xludf.DUMMYFUNCTION("""COMPUTED_VALUE"""),"TTB So Smart")</f>
        <v>TTB So Smart</v>
      </c>
      <c r="J91" s="222" t="str">
        <f>IFERROR(__xludf.DUMMYFUNCTION("""COMPUTED_VALUE"""),"Credit Payment")</f>
        <v>Credit Payment</v>
      </c>
      <c r="K91" s="222" t="str">
        <f>IFERROR(__xludf.DUMMYFUNCTION("""COMPUTED_VALUE"""),"Lotus")</f>
        <v>Lotus</v>
      </c>
      <c r="L91" s="222" t="str">
        <f>IFERROR(__xludf.DUMMYFUNCTION("""COMPUTED_VALUE"""),"ขนมปัง")</f>
        <v>ขนมปัง</v>
      </c>
    </row>
    <row r="92">
      <c r="A92" s="27"/>
      <c r="B92" s="27"/>
      <c r="C92" s="27"/>
      <c r="D92" s="244"/>
      <c r="E92" s="241">
        <f>IFERROR(__xludf.DUMMYFUNCTION("""COMPUTED_VALUE"""),45933.0)</f>
        <v>45933</v>
      </c>
      <c r="F92" s="222" t="str">
        <f>IFERROR(__xludf.DUMMYFUNCTION("""COMPUTED_VALUE"""),"Food &amp; Drink")</f>
        <v>Food &amp; Drink</v>
      </c>
      <c r="G92" s="222" t="str">
        <f>IFERROR(__xludf.DUMMYFUNCTION("""COMPUTED_VALUE"""),"Snacks")</f>
        <v>Snacks</v>
      </c>
      <c r="H92" s="245">
        <f>IFERROR(__xludf.DUMMYFUNCTION("""COMPUTED_VALUE"""),66.0)</f>
        <v>66</v>
      </c>
      <c r="I92" s="222" t="str">
        <f>IFERROR(__xludf.DUMMYFUNCTION("""COMPUTED_VALUE"""),"Mobile Banking")</f>
        <v>Mobile Banking</v>
      </c>
      <c r="J92" s="222"/>
      <c r="K92" s="222" t="str">
        <f>IFERROR(__xludf.DUMMYFUNCTION("""COMPUTED_VALUE"""),"7-Eleven")</f>
        <v>7-Eleven</v>
      </c>
      <c r="L92" s="222"/>
    </row>
    <row r="93">
      <c r="A93" s="27"/>
      <c r="B93" s="27"/>
      <c r="C93" s="27"/>
      <c r="D93" s="244"/>
      <c r="E93" s="241">
        <f>IFERROR(__xludf.DUMMYFUNCTION("""COMPUTED_VALUE"""),45933.0)</f>
        <v>45933</v>
      </c>
      <c r="F93" s="222" t="str">
        <f>IFERROR(__xludf.DUMMYFUNCTION("""COMPUTED_VALUE"""),"Transportation")</f>
        <v>Transportation</v>
      </c>
      <c r="G93" s="222" t="str">
        <f>IFERROR(__xludf.DUMMYFUNCTION("""COMPUTED_VALUE"""),"Maintenance")</f>
        <v>Maintenance</v>
      </c>
      <c r="H93" s="245">
        <f>IFERROR(__xludf.DUMMYFUNCTION("""COMPUTED_VALUE"""),1456.0)</f>
        <v>1456</v>
      </c>
      <c r="I93" s="222" t="str">
        <f>IFERROR(__xludf.DUMMYFUNCTION("""COMPUTED_VALUE"""),"KTC Bangchak")</f>
        <v>KTC Bangchak</v>
      </c>
      <c r="J93" s="222" t="str">
        <f>IFERROR(__xludf.DUMMYFUNCTION("""COMPUTED_VALUE"""),"Credit Payment")</f>
        <v>Credit Payment</v>
      </c>
      <c r="K93" s="222" t="str">
        <f>IFERROR(__xludf.DUMMYFUNCTION("""COMPUTED_VALUE"""),"Auto 1")</f>
        <v>Auto 1</v>
      </c>
      <c r="L93" s="222" t="str">
        <f>IFERROR(__xludf.DUMMYFUNCTION("""COMPUTED_VALUE"""),"ผ่อนยางรถ 6/10")</f>
        <v>ผ่อนยางรถ 6/10</v>
      </c>
    </row>
    <row r="94">
      <c r="A94" s="27"/>
      <c r="B94" s="27"/>
      <c r="C94" s="27"/>
      <c r="D94" s="244"/>
      <c r="E94" s="241">
        <f>IFERROR(__xludf.DUMMYFUNCTION("""COMPUTED_VALUE"""),45932.0)</f>
        <v>45932</v>
      </c>
      <c r="F94" s="222" t="str">
        <f>IFERROR(__xludf.DUMMYFUNCTION("""COMPUTED_VALUE"""),"Food &amp; Drink")</f>
        <v>Food &amp; Drink</v>
      </c>
      <c r="G94" s="222" t="str">
        <f>IFERROR(__xludf.DUMMYFUNCTION("""COMPUTED_VALUE"""),"Main meals")</f>
        <v>Main meals</v>
      </c>
      <c r="H94" s="245">
        <f>IFERROR(__xludf.DUMMYFUNCTION("""COMPUTED_VALUE"""),59.0)</f>
        <v>59</v>
      </c>
      <c r="I94" s="222" t="str">
        <f>IFERROR(__xludf.DUMMYFUNCTION("""COMPUTED_VALUE"""),"KTC Bangchak")</f>
        <v>KTC Bangchak</v>
      </c>
      <c r="J94" s="222" t="str">
        <f>IFERROR(__xludf.DUMMYFUNCTION("""COMPUTED_VALUE"""),"Credit Payment")</f>
        <v>Credit Payment</v>
      </c>
      <c r="K94" s="222" t="str">
        <f>IFERROR(__xludf.DUMMYFUNCTION("""COMPUTED_VALUE"""),"KFC")</f>
        <v>KFC</v>
      </c>
      <c r="L94" s="222"/>
    </row>
    <row r="95">
      <c r="A95" s="27"/>
      <c r="B95" s="27"/>
      <c r="C95" s="27"/>
      <c r="D95" s="244"/>
      <c r="E95" s="241">
        <f>IFERROR(__xludf.DUMMYFUNCTION("""COMPUTED_VALUE"""),45931.0)</f>
        <v>45931</v>
      </c>
      <c r="F95" s="222" t="str">
        <f>IFERROR(__xludf.DUMMYFUNCTION("""COMPUTED_VALUE"""),"Food &amp; Drink")</f>
        <v>Food &amp; Drink</v>
      </c>
      <c r="G95" s="222" t="str">
        <f>IFERROR(__xludf.DUMMYFUNCTION("""COMPUTED_VALUE"""),"Snacks")</f>
        <v>Snacks</v>
      </c>
      <c r="H95" s="245">
        <f>IFERROR(__xludf.DUMMYFUNCTION("""COMPUTED_VALUE"""),118.0)</f>
        <v>118</v>
      </c>
      <c r="I95" s="222" t="str">
        <f>IFERROR(__xludf.DUMMYFUNCTION("""COMPUTED_VALUE"""),"Mobile Banking")</f>
        <v>Mobile Banking</v>
      </c>
      <c r="J95" s="222"/>
      <c r="K95" s="222" t="str">
        <f>IFERROR(__xludf.DUMMYFUNCTION("""COMPUTED_VALUE"""),"7-Eleven")</f>
        <v>7-Eleven</v>
      </c>
      <c r="L95" s="222"/>
    </row>
    <row r="96">
      <c r="A96" s="27"/>
      <c r="B96" s="27"/>
      <c r="C96" s="27"/>
      <c r="D96" s="244"/>
      <c r="E96" s="241"/>
      <c r="F96" s="222"/>
      <c r="G96" s="222"/>
      <c r="H96" s="246"/>
      <c r="I96" s="222"/>
      <c r="J96" s="222"/>
      <c r="K96" s="222"/>
      <c r="L96" s="222"/>
    </row>
    <row r="97">
      <c r="A97" s="27"/>
      <c r="B97" s="27"/>
      <c r="C97" s="27"/>
      <c r="D97" s="244"/>
      <c r="E97" s="241"/>
      <c r="F97" s="222"/>
      <c r="G97" s="222"/>
      <c r="H97" s="246"/>
      <c r="I97" s="222"/>
      <c r="J97" s="222"/>
      <c r="K97" s="222"/>
      <c r="L97" s="222"/>
    </row>
    <row r="98">
      <c r="A98" s="27"/>
      <c r="B98" s="27"/>
      <c r="C98" s="27"/>
      <c r="D98" s="244"/>
      <c r="E98" s="241"/>
      <c r="F98" s="222"/>
      <c r="G98" s="222"/>
      <c r="H98" s="246"/>
      <c r="I98" s="222"/>
      <c r="J98" s="222"/>
      <c r="K98" s="222"/>
      <c r="L98" s="222"/>
    </row>
    <row r="99">
      <c r="A99" s="27"/>
      <c r="B99" s="27"/>
      <c r="C99" s="27"/>
      <c r="D99" s="244"/>
      <c r="E99" s="241"/>
      <c r="F99" s="222"/>
      <c r="G99" s="222"/>
      <c r="H99" s="246"/>
      <c r="I99" s="222"/>
      <c r="J99" s="222"/>
      <c r="K99" s="222"/>
      <c r="L99" s="222"/>
    </row>
    <row r="100">
      <c r="A100" s="27"/>
      <c r="B100" s="27"/>
      <c r="C100" s="27"/>
      <c r="D100" s="244"/>
      <c r="E100" s="241"/>
      <c r="F100" s="222"/>
      <c r="G100" s="222"/>
      <c r="H100" s="246"/>
      <c r="I100" s="222"/>
      <c r="J100" s="222"/>
      <c r="K100" s="222"/>
      <c r="L100" s="222"/>
    </row>
    <row r="101">
      <c r="A101" s="27"/>
      <c r="B101" s="27"/>
      <c r="C101" s="27"/>
      <c r="D101" s="244"/>
      <c r="E101" s="241"/>
      <c r="F101" s="222"/>
      <c r="G101" s="222"/>
      <c r="H101" s="246"/>
      <c r="I101" s="222"/>
      <c r="J101" s="222"/>
      <c r="K101" s="222"/>
      <c r="L101" s="222"/>
    </row>
    <row r="102">
      <c r="A102" s="27"/>
      <c r="B102" s="27"/>
      <c r="C102" s="27"/>
      <c r="D102" s="244"/>
      <c r="E102" s="241"/>
      <c r="F102" s="222"/>
      <c r="G102" s="222"/>
      <c r="H102" s="246"/>
      <c r="I102" s="222"/>
      <c r="J102" s="222"/>
      <c r="K102" s="222"/>
      <c r="L102" s="222"/>
    </row>
    <row r="103">
      <c r="A103" s="27"/>
      <c r="B103" s="27"/>
      <c r="C103" s="27"/>
      <c r="D103" s="244"/>
      <c r="E103" s="241"/>
      <c r="F103" s="222"/>
      <c r="G103" s="222"/>
      <c r="H103" s="246"/>
      <c r="I103" s="222"/>
      <c r="J103" s="222"/>
      <c r="K103" s="222"/>
      <c r="L103" s="222"/>
    </row>
    <row r="104">
      <c r="A104" s="27"/>
      <c r="B104" s="27"/>
      <c r="C104" s="27"/>
      <c r="D104" s="244"/>
      <c r="E104" s="241"/>
      <c r="F104" s="222"/>
      <c r="G104" s="222"/>
      <c r="H104" s="246"/>
      <c r="I104" s="222"/>
      <c r="J104" s="222"/>
      <c r="K104" s="222"/>
      <c r="L104" s="222"/>
    </row>
    <row r="105">
      <c r="A105" s="27"/>
      <c r="B105" s="27"/>
      <c r="C105" s="27"/>
      <c r="D105" s="244"/>
      <c r="E105" s="241"/>
      <c r="F105" s="222"/>
      <c r="G105" s="222"/>
      <c r="H105" s="246"/>
      <c r="I105" s="222"/>
      <c r="J105" s="222"/>
      <c r="K105" s="222"/>
      <c r="L105" s="222"/>
    </row>
    <row r="106">
      <c r="A106" s="27"/>
      <c r="B106" s="27"/>
      <c r="C106" s="27"/>
      <c r="D106" s="244"/>
      <c r="E106" s="241"/>
      <c r="F106" s="222"/>
      <c r="G106" s="222"/>
      <c r="H106" s="246"/>
      <c r="I106" s="222"/>
      <c r="J106" s="222"/>
      <c r="K106" s="222"/>
      <c r="L106" s="222"/>
    </row>
    <row r="107">
      <c r="A107" s="27"/>
      <c r="B107" s="27"/>
      <c r="C107" s="27"/>
      <c r="D107" s="244"/>
      <c r="E107" s="241"/>
      <c r="F107" s="222"/>
      <c r="G107" s="222"/>
      <c r="H107" s="246"/>
      <c r="I107" s="222"/>
      <c r="J107" s="222"/>
      <c r="K107" s="222"/>
      <c r="L107" s="222"/>
    </row>
    <row r="108">
      <c r="A108" s="27"/>
      <c r="B108" s="27"/>
      <c r="C108" s="27"/>
      <c r="D108" s="244"/>
      <c r="E108" s="241"/>
      <c r="F108" s="222"/>
      <c r="G108" s="222"/>
      <c r="H108" s="246"/>
      <c r="I108" s="222"/>
      <c r="J108" s="222"/>
      <c r="K108" s="222"/>
      <c r="L108" s="222"/>
    </row>
    <row r="109">
      <c r="A109" s="27"/>
      <c r="B109" s="27"/>
      <c r="C109" s="27"/>
      <c r="D109" s="244"/>
      <c r="E109" s="241"/>
      <c r="F109" s="222"/>
      <c r="G109" s="222"/>
      <c r="H109" s="246"/>
      <c r="I109" s="222"/>
      <c r="J109" s="222"/>
      <c r="K109" s="222"/>
      <c r="L109" s="222"/>
    </row>
    <row r="110">
      <c r="A110" s="27"/>
      <c r="B110" s="27"/>
      <c r="C110" s="27"/>
      <c r="D110" s="244"/>
      <c r="E110" s="241"/>
      <c r="F110" s="222"/>
      <c r="G110" s="222"/>
      <c r="H110" s="246"/>
      <c r="I110" s="222"/>
      <c r="J110" s="222"/>
      <c r="K110" s="222"/>
      <c r="L110" s="222"/>
    </row>
    <row r="111">
      <c r="A111" s="27"/>
      <c r="B111" s="27"/>
      <c r="C111" s="27"/>
      <c r="D111" s="244"/>
      <c r="E111" s="241"/>
      <c r="F111" s="222"/>
      <c r="G111" s="222"/>
      <c r="H111" s="246"/>
      <c r="I111" s="222"/>
      <c r="J111" s="222"/>
      <c r="K111" s="222"/>
      <c r="L111" s="222"/>
    </row>
    <row r="112">
      <c r="A112" s="27"/>
      <c r="B112" s="27"/>
      <c r="C112" s="27"/>
      <c r="D112" s="244"/>
      <c r="E112" s="241"/>
      <c r="F112" s="222"/>
      <c r="G112" s="222"/>
      <c r="H112" s="246"/>
      <c r="I112" s="222"/>
      <c r="J112" s="222"/>
      <c r="K112" s="222"/>
      <c r="L112" s="222"/>
    </row>
    <row r="113">
      <c r="A113" s="27"/>
      <c r="B113" s="27"/>
      <c r="C113" s="27"/>
      <c r="D113" s="244"/>
      <c r="E113" s="241"/>
      <c r="F113" s="222"/>
      <c r="G113" s="222"/>
      <c r="H113" s="246"/>
      <c r="I113" s="222"/>
      <c r="J113" s="222"/>
      <c r="K113" s="222"/>
      <c r="L113" s="222"/>
    </row>
    <row r="114">
      <c r="A114" s="27"/>
      <c r="B114" s="27"/>
      <c r="C114" s="27"/>
      <c r="D114" s="244"/>
      <c r="E114" s="241"/>
      <c r="F114" s="222"/>
      <c r="G114" s="222"/>
      <c r="H114" s="246"/>
      <c r="I114" s="222"/>
      <c r="J114" s="222"/>
      <c r="K114" s="222"/>
      <c r="L114" s="222"/>
    </row>
    <row r="115">
      <c r="A115" s="27"/>
      <c r="B115" s="27"/>
      <c r="C115" s="27"/>
      <c r="D115" s="244"/>
      <c r="E115" s="241"/>
      <c r="F115" s="222"/>
      <c r="G115" s="222"/>
      <c r="H115" s="246"/>
      <c r="I115" s="222"/>
      <c r="J115" s="222"/>
      <c r="K115" s="222"/>
      <c r="L115" s="222"/>
    </row>
    <row r="116">
      <c r="A116" s="27"/>
      <c r="B116" s="27"/>
      <c r="C116" s="27"/>
      <c r="D116" s="244"/>
      <c r="E116" s="241"/>
      <c r="F116" s="222"/>
      <c r="G116" s="222"/>
      <c r="H116" s="246"/>
      <c r="I116" s="222"/>
      <c r="J116" s="222"/>
      <c r="K116" s="222"/>
      <c r="L116" s="222"/>
    </row>
    <row r="117">
      <c r="A117" s="27"/>
      <c r="B117" s="27"/>
      <c r="C117" s="27"/>
      <c r="D117" s="244"/>
      <c r="E117" s="241"/>
      <c r="F117" s="222"/>
      <c r="G117" s="222"/>
      <c r="H117" s="246"/>
      <c r="I117" s="222"/>
      <c r="J117" s="222"/>
      <c r="K117" s="222"/>
      <c r="L117" s="222"/>
    </row>
    <row r="118">
      <c r="A118" s="27"/>
      <c r="B118" s="27"/>
      <c r="C118" s="27"/>
      <c r="D118" s="244"/>
      <c r="E118" s="241"/>
      <c r="F118" s="222"/>
      <c r="G118" s="222"/>
      <c r="H118" s="246"/>
      <c r="I118" s="222"/>
      <c r="J118" s="222"/>
      <c r="K118" s="222"/>
      <c r="L118" s="222"/>
    </row>
    <row r="119">
      <c r="A119" s="27"/>
      <c r="B119" s="27"/>
      <c r="C119" s="27"/>
      <c r="D119" s="244"/>
      <c r="E119" s="241"/>
      <c r="F119" s="222"/>
      <c r="G119" s="222"/>
      <c r="H119" s="246"/>
      <c r="I119" s="222"/>
      <c r="J119" s="222"/>
      <c r="K119" s="222"/>
      <c r="L119" s="222"/>
    </row>
    <row r="120">
      <c r="A120" s="27"/>
      <c r="B120" s="27"/>
      <c r="C120" s="27"/>
      <c r="D120" s="244"/>
      <c r="E120" s="241"/>
      <c r="F120" s="222"/>
      <c r="G120" s="222"/>
      <c r="H120" s="246"/>
      <c r="I120" s="222"/>
      <c r="J120" s="222"/>
      <c r="K120" s="222"/>
      <c r="L120" s="222"/>
    </row>
    <row r="121">
      <c r="A121" s="27"/>
      <c r="B121" s="27"/>
      <c r="C121" s="27"/>
      <c r="D121" s="244"/>
      <c r="E121" s="241"/>
      <c r="F121" s="222"/>
      <c r="G121" s="222"/>
      <c r="H121" s="246"/>
      <c r="I121" s="222"/>
      <c r="J121" s="222"/>
      <c r="K121" s="222"/>
      <c r="L121" s="222"/>
    </row>
    <row r="122">
      <c r="A122" s="27"/>
      <c r="B122" s="27"/>
      <c r="C122" s="27"/>
      <c r="D122" s="244"/>
      <c r="E122" s="241"/>
      <c r="F122" s="222"/>
      <c r="G122" s="222"/>
      <c r="H122" s="246"/>
      <c r="I122" s="222"/>
      <c r="J122" s="222"/>
      <c r="K122" s="222"/>
      <c r="L122" s="222"/>
    </row>
    <row r="123">
      <c r="A123" s="27"/>
      <c r="B123" s="27"/>
      <c r="C123" s="27"/>
      <c r="D123" s="244"/>
      <c r="E123" s="241"/>
      <c r="F123" s="222"/>
      <c r="G123" s="222"/>
      <c r="H123" s="246"/>
      <c r="I123" s="222"/>
      <c r="J123" s="222"/>
      <c r="K123" s="222"/>
      <c r="L123" s="222"/>
    </row>
    <row r="124">
      <c r="A124" s="27"/>
      <c r="B124" s="27"/>
      <c r="C124" s="27"/>
      <c r="D124" s="244"/>
      <c r="E124" s="241"/>
      <c r="F124" s="222"/>
      <c r="G124" s="222"/>
      <c r="H124" s="246"/>
      <c r="I124" s="222"/>
      <c r="J124" s="222"/>
      <c r="K124" s="222"/>
      <c r="L124" s="222"/>
    </row>
    <row r="125">
      <c r="A125" s="27"/>
      <c r="B125" s="27"/>
      <c r="C125" s="27"/>
      <c r="D125" s="244"/>
      <c r="E125" s="241"/>
      <c r="F125" s="222"/>
      <c r="G125" s="222"/>
      <c r="H125" s="246"/>
      <c r="I125" s="222"/>
      <c r="J125" s="222"/>
      <c r="K125" s="222"/>
      <c r="L125" s="222"/>
    </row>
    <row r="126">
      <c r="A126" s="27"/>
      <c r="B126" s="27"/>
      <c r="C126" s="27"/>
      <c r="D126" s="244"/>
      <c r="E126" s="241"/>
      <c r="F126" s="222"/>
      <c r="G126" s="222"/>
      <c r="H126" s="246"/>
      <c r="I126" s="222"/>
      <c r="J126" s="222"/>
      <c r="K126" s="222"/>
      <c r="L126" s="222"/>
    </row>
    <row r="127">
      <c r="A127" s="27"/>
      <c r="B127" s="27"/>
      <c r="C127" s="27"/>
      <c r="D127" s="244"/>
      <c r="E127" s="241"/>
      <c r="F127" s="222"/>
      <c r="G127" s="222"/>
      <c r="H127" s="246"/>
      <c r="I127" s="222"/>
      <c r="J127" s="222"/>
      <c r="K127" s="222"/>
      <c r="L127" s="222"/>
    </row>
    <row r="128">
      <c r="A128" s="27"/>
      <c r="B128" s="27"/>
      <c r="C128" s="27"/>
      <c r="D128" s="244"/>
      <c r="E128" s="241"/>
      <c r="F128" s="222"/>
      <c r="G128" s="222"/>
      <c r="H128" s="246"/>
      <c r="I128" s="222"/>
      <c r="J128" s="222"/>
      <c r="K128" s="222"/>
      <c r="L128" s="222"/>
    </row>
    <row r="129">
      <c r="A129" s="27"/>
      <c r="B129" s="27"/>
      <c r="C129" s="27"/>
      <c r="D129" s="244"/>
      <c r="E129" s="241"/>
      <c r="F129" s="222"/>
      <c r="G129" s="222"/>
      <c r="H129" s="246"/>
      <c r="I129" s="222"/>
      <c r="J129" s="222"/>
      <c r="K129" s="222"/>
      <c r="L129" s="222"/>
    </row>
    <row r="130">
      <c r="A130" s="27"/>
      <c r="B130" s="27"/>
      <c r="C130" s="27"/>
      <c r="D130" s="244"/>
      <c r="E130" s="241"/>
      <c r="F130" s="222"/>
      <c r="G130" s="222"/>
      <c r="H130" s="246"/>
      <c r="I130" s="222"/>
      <c r="J130" s="222"/>
      <c r="K130" s="222"/>
      <c r="L130" s="222"/>
    </row>
    <row r="131">
      <c r="A131" s="27"/>
      <c r="B131" s="27"/>
      <c r="C131" s="27"/>
      <c r="D131" s="244"/>
      <c r="E131" s="241"/>
      <c r="F131" s="222"/>
      <c r="G131" s="222"/>
      <c r="H131" s="246"/>
      <c r="I131" s="222"/>
      <c r="J131" s="222"/>
      <c r="K131" s="222"/>
      <c r="L131" s="222"/>
    </row>
    <row r="132">
      <c r="A132" s="27"/>
      <c r="B132" s="27"/>
      <c r="C132" s="27"/>
      <c r="D132" s="244"/>
      <c r="E132" s="241"/>
      <c r="F132" s="222"/>
      <c r="G132" s="222"/>
      <c r="H132" s="246"/>
      <c r="I132" s="222"/>
      <c r="J132" s="222"/>
      <c r="K132" s="222"/>
      <c r="L132" s="222"/>
    </row>
    <row r="133">
      <c r="A133" s="27"/>
      <c r="B133" s="27"/>
      <c r="C133" s="27"/>
      <c r="D133" s="244"/>
      <c r="E133" s="241"/>
      <c r="F133" s="222"/>
      <c r="G133" s="222"/>
      <c r="H133" s="246"/>
      <c r="I133" s="222"/>
      <c r="J133" s="222"/>
      <c r="K133" s="222"/>
      <c r="L133" s="222"/>
    </row>
    <row r="134">
      <c r="A134" s="27"/>
      <c r="B134" s="27"/>
      <c r="C134" s="27"/>
      <c r="D134" s="244"/>
      <c r="E134" s="241"/>
      <c r="F134" s="222"/>
      <c r="G134" s="222"/>
      <c r="H134" s="246"/>
      <c r="I134" s="222"/>
      <c r="J134" s="222"/>
      <c r="K134" s="222"/>
      <c r="L134" s="222"/>
    </row>
    <row r="135">
      <c r="A135" s="27"/>
      <c r="B135" s="27"/>
      <c r="C135" s="27"/>
      <c r="D135" s="244"/>
      <c r="E135" s="241"/>
      <c r="F135" s="222"/>
      <c r="G135" s="222"/>
      <c r="H135" s="246"/>
      <c r="I135" s="222"/>
      <c r="J135" s="222"/>
      <c r="K135" s="222"/>
      <c r="L135" s="222"/>
    </row>
    <row r="136">
      <c r="A136" s="27"/>
      <c r="B136" s="27"/>
      <c r="C136" s="27"/>
      <c r="D136" s="244"/>
      <c r="E136" s="241"/>
      <c r="F136" s="222"/>
      <c r="G136" s="222"/>
      <c r="H136" s="246"/>
      <c r="I136" s="222"/>
      <c r="J136" s="222"/>
      <c r="K136" s="222"/>
      <c r="L136" s="222"/>
    </row>
    <row r="137">
      <c r="A137" s="27"/>
      <c r="B137" s="27"/>
      <c r="C137" s="27"/>
      <c r="D137" s="244"/>
      <c r="E137" s="241"/>
      <c r="F137" s="222"/>
      <c r="G137" s="222"/>
      <c r="H137" s="246"/>
      <c r="I137" s="222"/>
      <c r="J137" s="222"/>
      <c r="K137" s="222"/>
      <c r="L137" s="222"/>
    </row>
    <row r="138">
      <c r="A138" s="27"/>
      <c r="B138" s="27"/>
      <c r="C138" s="27"/>
      <c r="D138" s="244"/>
      <c r="E138" s="241"/>
      <c r="F138" s="222"/>
      <c r="G138" s="222"/>
      <c r="H138" s="246"/>
      <c r="I138" s="222"/>
      <c r="J138" s="222"/>
      <c r="K138" s="222"/>
      <c r="L138" s="222"/>
    </row>
    <row r="139">
      <c r="A139" s="27"/>
      <c r="B139" s="27"/>
      <c r="C139" s="27"/>
      <c r="D139" s="244"/>
      <c r="E139" s="241"/>
      <c r="F139" s="222"/>
      <c r="G139" s="222"/>
      <c r="H139" s="246"/>
      <c r="I139" s="222"/>
      <c r="J139" s="222"/>
      <c r="K139" s="222"/>
      <c r="L139" s="222"/>
    </row>
    <row r="140">
      <c r="A140" s="27"/>
      <c r="B140" s="27"/>
      <c r="C140" s="27"/>
      <c r="D140" s="244"/>
      <c r="E140" s="241"/>
      <c r="F140" s="222"/>
      <c r="G140" s="222"/>
      <c r="H140" s="246"/>
      <c r="I140" s="222"/>
      <c r="J140" s="222"/>
      <c r="K140" s="222"/>
      <c r="L140" s="222"/>
    </row>
    <row r="141">
      <c r="A141" s="27"/>
      <c r="B141" s="27"/>
      <c r="C141" s="27"/>
      <c r="D141" s="244"/>
      <c r="E141" s="241"/>
      <c r="F141" s="222"/>
      <c r="G141" s="222"/>
      <c r="H141" s="246"/>
      <c r="I141" s="222"/>
      <c r="J141" s="222"/>
      <c r="K141" s="222"/>
      <c r="L141" s="222"/>
    </row>
    <row r="142">
      <c r="A142" s="27"/>
      <c r="B142" s="27"/>
      <c r="C142" s="27"/>
      <c r="D142" s="244"/>
      <c r="E142" s="241"/>
      <c r="F142" s="222"/>
      <c r="G142" s="222"/>
      <c r="H142" s="246"/>
      <c r="I142" s="222"/>
      <c r="J142" s="222"/>
      <c r="K142" s="222"/>
      <c r="L142" s="222"/>
    </row>
    <row r="143">
      <c r="A143" s="27"/>
      <c r="B143" s="27"/>
      <c r="C143" s="27"/>
      <c r="D143" s="244"/>
      <c r="E143" s="241"/>
      <c r="F143" s="222"/>
      <c r="G143" s="222"/>
      <c r="H143" s="246"/>
      <c r="I143" s="222"/>
      <c r="J143" s="222"/>
      <c r="K143" s="222"/>
      <c r="L143" s="222"/>
    </row>
    <row r="144">
      <c r="A144" s="27"/>
      <c r="B144" s="27"/>
      <c r="C144" s="27"/>
      <c r="D144" s="244"/>
      <c r="E144" s="241"/>
      <c r="F144" s="222"/>
      <c r="G144" s="222"/>
      <c r="H144" s="246"/>
      <c r="I144" s="222"/>
      <c r="J144" s="222"/>
      <c r="K144" s="222"/>
      <c r="L144" s="222"/>
    </row>
    <row r="145">
      <c r="A145" s="27"/>
      <c r="B145" s="27"/>
      <c r="C145" s="27"/>
      <c r="D145" s="244"/>
      <c r="E145" s="241"/>
      <c r="F145" s="222"/>
      <c r="G145" s="222"/>
      <c r="H145" s="246"/>
      <c r="I145" s="222"/>
      <c r="J145" s="222"/>
      <c r="K145" s="222"/>
      <c r="L145" s="222"/>
    </row>
    <row r="146">
      <c r="A146" s="27"/>
      <c r="B146" s="27"/>
      <c r="C146" s="27"/>
      <c r="D146" s="244"/>
      <c r="E146" s="241"/>
      <c r="F146" s="222"/>
      <c r="G146" s="222"/>
      <c r="H146" s="246"/>
      <c r="I146" s="222"/>
      <c r="J146" s="222"/>
      <c r="K146" s="222"/>
      <c r="L146" s="222"/>
    </row>
    <row r="147">
      <c r="A147" s="27"/>
      <c r="B147" s="27"/>
      <c r="C147" s="27"/>
      <c r="D147" s="244"/>
      <c r="E147" s="241"/>
      <c r="F147" s="222"/>
      <c r="G147" s="222"/>
      <c r="H147" s="246"/>
      <c r="I147" s="222"/>
      <c r="J147" s="222"/>
      <c r="K147" s="222"/>
      <c r="L147" s="222"/>
    </row>
    <row r="148">
      <c r="A148" s="27"/>
      <c r="B148" s="27"/>
      <c r="C148" s="27"/>
      <c r="D148" s="244"/>
      <c r="E148" s="241"/>
      <c r="F148" s="222"/>
      <c r="G148" s="222"/>
      <c r="H148" s="246"/>
      <c r="I148" s="222"/>
      <c r="J148" s="222"/>
      <c r="K148" s="222"/>
      <c r="L148" s="222"/>
    </row>
    <row r="149">
      <c r="A149" s="27"/>
      <c r="B149" s="27"/>
      <c r="C149" s="27"/>
      <c r="D149" s="244"/>
      <c r="E149" s="241"/>
      <c r="F149" s="222"/>
      <c r="G149" s="222"/>
      <c r="H149" s="246"/>
      <c r="I149" s="222"/>
      <c r="J149" s="222"/>
      <c r="K149" s="222"/>
      <c r="L149" s="222"/>
    </row>
    <row r="150">
      <c r="A150" s="27"/>
      <c r="B150" s="27"/>
      <c r="C150" s="27"/>
      <c r="D150" s="244"/>
      <c r="E150" s="241"/>
      <c r="F150" s="222"/>
      <c r="G150" s="222"/>
      <c r="H150" s="246"/>
      <c r="I150" s="222"/>
      <c r="J150" s="222"/>
      <c r="K150" s="222"/>
      <c r="L150" s="222"/>
    </row>
    <row r="151">
      <c r="A151" s="27"/>
      <c r="B151" s="27"/>
      <c r="C151" s="27"/>
      <c r="D151" s="244"/>
      <c r="E151" s="241"/>
      <c r="F151" s="222"/>
      <c r="G151" s="222"/>
      <c r="H151" s="246"/>
      <c r="I151" s="222"/>
      <c r="J151" s="222"/>
      <c r="K151" s="222"/>
      <c r="L151" s="222"/>
    </row>
    <row r="152">
      <c r="A152" s="27"/>
      <c r="B152" s="27"/>
      <c r="C152" s="27"/>
      <c r="D152" s="244"/>
      <c r="E152" s="241"/>
      <c r="F152" s="222"/>
      <c r="G152" s="222"/>
      <c r="H152" s="246"/>
      <c r="I152" s="222"/>
      <c r="J152" s="222"/>
      <c r="K152" s="222"/>
      <c r="L152" s="222"/>
    </row>
    <row r="153">
      <c r="A153" s="27"/>
      <c r="B153" s="27"/>
      <c r="C153" s="27"/>
      <c r="D153" s="244"/>
      <c r="E153" s="241"/>
      <c r="F153" s="222"/>
      <c r="G153" s="222"/>
      <c r="H153" s="246"/>
      <c r="I153" s="222"/>
      <c r="J153" s="222"/>
      <c r="K153" s="222"/>
      <c r="L153" s="222"/>
    </row>
    <row r="154">
      <c r="A154" s="27"/>
      <c r="B154" s="27"/>
      <c r="C154" s="27"/>
      <c r="D154" s="244"/>
      <c r="E154" s="241"/>
      <c r="F154" s="222"/>
      <c r="G154" s="222"/>
      <c r="H154" s="246"/>
      <c r="I154" s="222"/>
      <c r="J154" s="222"/>
      <c r="K154" s="222"/>
      <c r="L154" s="222"/>
    </row>
    <row r="155">
      <c r="A155" s="27"/>
      <c r="B155" s="27"/>
      <c r="C155" s="27"/>
      <c r="D155" s="244"/>
      <c r="E155" s="241"/>
      <c r="F155" s="222"/>
      <c r="G155" s="222"/>
      <c r="H155" s="246"/>
      <c r="I155" s="222"/>
      <c r="J155" s="222"/>
      <c r="K155" s="222"/>
      <c r="L155" s="222"/>
    </row>
    <row r="156">
      <c r="A156" s="27"/>
      <c r="B156" s="27"/>
      <c r="C156" s="27"/>
      <c r="D156" s="244"/>
      <c r="E156" s="241"/>
      <c r="F156" s="222"/>
      <c r="G156" s="222"/>
      <c r="H156" s="246"/>
      <c r="I156" s="222"/>
      <c r="J156" s="222"/>
      <c r="K156" s="222"/>
      <c r="L156" s="222"/>
    </row>
    <row r="157">
      <c r="A157" s="27"/>
      <c r="B157" s="27"/>
      <c r="C157" s="27"/>
      <c r="D157" s="244"/>
      <c r="E157" s="241"/>
      <c r="F157" s="222"/>
      <c r="G157" s="222"/>
      <c r="H157" s="246"/>
      <c r="I157" s="222"/>
      <c r="J157" s="222"/>
      <c r="K157" s="222"/>
      <c r="L157" s="222"/>
    </row>
    <row r="158">
      <c r="A158" s="27"/>
      <c r="B158" s="27"/>
      <c r="C158" s="27"/>
      <c r="D158" s="244"/>
      <c r="E158" s="241"/>
      <c r="F158" s="222"/>
      <c r="G158" s="222"/>
      <c r="H158" s="246"/>
      <c r="I158" s="222"/>
      <c r="J158" s="222"/>
      <c r="K158" s="222"/>
      <c r="L158" s="222"/>
    </row>
    <row r="159">
      <c r="A159" s="27"/>
      <c r="B159" s="27"/>
      <c r="C159" s="27"/>
      <c r="D159" s="244"/>
      <c r="E159" s="241"/>
      <c r="F159" s="222"/>
      <c r="G159" s="222"/>
      <c r="H159" s="246"/>
      <c r="I159" s="222"/>
      <c r="J159" s="222"/>
      <c r="K159" s="222"/>
      <c r="L159" s="222"/>
    </row>
    <row r="160">
      <c r="A160" s="27"/>
      <c r="B160" s="27"/>
      <c r="C160" s="27"/>
      <c r="D160" s="244"/>
      <c r="E160" s="241"/>
      <c r="F160" s="222"/>
      <c r="G160" s="222"/>
      <c r="H160" s="246"/>
      <c r="I160" s="222"/>
      <c r="J160" s="222"/>
      <c r="K160" s="222"/>
      <c r="L160" s="222"/>
    </row>
    <row r="161">
      <c r="A161" s="27"/>
      <c r="B161" s="27"/>
      <c r="C161" s="27"/>
      <c r="D161" s="244"/>
      <c r="E161" s="241"/>
      <c r="F161" s="222"/>
      <c r="G161" s="222"/>
      <c r="H161" s="246"/>
      <c r="I161" s="222"/>
      <c r="J161" s="222"/>
      <c r="K161" s="222"/>
      <c r="L161" s="222"/>
    </row>
    <row r="162">
      <c r="A162" s="27"/>
      <c r="B162" s="27"/>
      <c r="C162" s="27"/>
      <c r="D162" s="244"/>
      <c r="E162" s="241"/>
      <c r="F162" s="222"/>
      <c r="G162" s="222"/>
      <c r="H162" s="246"/>
      <c r="I162" s="222"/>
      <c r="J162" s="222"/>
      <c r="K162" s="222"/>
      <c r="L162" s="222"/>
    </row>
    <row r="163">
      <c r="A163" s="27"/>
      <c r="B163" s="27"/>
      <c r="C163" s="27"/>
      <c r="D163" s="244"/>
      <c r="E163" s="241"/>
      <c r="F163" s="222"/>
      <c r="G163" s="222"/>
      <c r="H163" s="246"/>
      <c r="I163" s="222"/>
      <c r="J163" s="222"/>
      <c r="K163" s="222"/>
      <c r="L163" s="222"/>
    </row>
    <row r="164">
      <c r="A164" s="27"/>
      <c r="B164" s="27"/>
      <c r="C164" s="27"/>
      <c r="D164" s="244"/>
      <c r="E164" s="241"/>
      <c r="F164" s="222"/>
      <c r="G164" s="222"/>
      <c r="H164" s="246"/>
      <c r="I164" s="222"/>
      <c r="J164" s="222"/>
      <c r="K164" s="222"/>
      <c r="L164" s="222"/>
    </row>
    <row r="165">
      <c r="A165" s="27"/>
      <c r="B165" s="27"/>
      <c r="C165" s="27"/>
      <c r="D165" s="244"/>
      <c r="E165" s="241"/>
      <c r="F165" s="222"/>
      <c r="G165" s="222"/>
      <c r="H165" s="246"/>
      <c r="I165" s="222"/>
      <c r="J165" s="222"/>
      <c r="K165" s="222"/>
      <c r="L165" s="222"/>
    </row>
    <row r="166">
      <c r="A166" s="27"/>
      <c r="B166" s="27"/>
      <c r="C166" s="27"/>
      <c r="D166" s="244"/>
      <c r="E166" s="241"/>
      <c r="F166" s="222"/>
      <c r="G166" s="222"/>
      <c r="H166" s="246"/>
      <c r="I166" s="222"/>
      <c r="J166" s="222"/>
      <c r="K166" s="222"/>
      <c r="L166" s="222"/>
    </row>
    <row r="167">
      <c r="A167" s="27"/>
      <c r="B167" s="27"/>
      <c r="C167" s="27"/>
      <c r="D167" s="244"/>
      <c r="E167" s="241"/>
      <c r="F167" s="222"/>
      <c r="G167" s="222"/>
      <c r="H167" s="246"/>
      <c r="I167" s="222"/>
      <c r="J167" s="222"/>
      <c r="K167" s="222"/>
      <c r="L167" s="222"/>
    </row>
    <row r="168">
      <c r="A168" s="27"/>
      <c r="B168" s="27"/>
      <c r="C168" s="27"/>
      <c r="D168" s="244"/>
      <c r="E168" s="241"/>
      <c r="F168" s="222"/>
      <c r="G168" s="222"/>
      <c r="H168" s="246"/>
      <c r="I168" s="222"/>
      <c r="J168" s="222"/>
      <c r="K168" s="222"/>
      <c r="L168" s="222"/>
    </row>
    <row r="169">
      <c r="A169" s="27"/>
      <c r="B169" s="27"/>
      <c r="C169" s="27"/>
      <c r="D169" s="244"/>
      <c r="E169" s="241"/>
      <c r="F169" s="222"/>
      <c r="G169" s="222"/>
      <c r="H169" s="246"/>
      <c r="I169" s="222"/>
      <c r="J169" s="222"/>
      <c r="K169" s="222"/>
      <c r="L169" s="222"/>
    </row>
    <row r="170">
      <c r="A170" s="27"/>
      <c r="B170" s="27"/>
      <c r="C170" s="27"/>
      <c r="D170" s="244"/>
      <c r="E170" s="241"/>
      <c r="F170" s="222"/>
      <c r="G170" s="222"/>
      <c r="H170" s="246"/>
      <c r="I170" s="222"/>
      <c r="J170" s="222"/>
      <c r="K170" s="222"/>
      <c r="L170" s="222"/>
    </row>
    <row r="171">
      <c r="A171" s="27"/>
      <c r="B171" s="27"/>
      <c r="C171" s="27"/>
      <c r="D171" s="244"/>
      <c r="E171" s="241"/>
      <c r="F171" s="222"/>
      <c r="G171" s="222"/>
      <c r="H171" s="246"/>
      <c r="I171" s="222"/>
      <c r="J171" s="222"/>
      <c r="K171" s="222"/>
      <c r="L171" s="222"/>
    </row>
    <row r="172">
      <c r="A172" s="27"/>
      <c r="B172" s="27"/>
      <c r="C172" s="27"/>
      <c r="D172" s="244"/>
      <c r="E172" s="241"/>
      <c r="F172" s="222"/>
      <c r="G172" s="222"/>
      <c r="H172" s="246"/>
      <c r="I172" s="222"/>
      <c r="J172" s="222"/>
      <c r="K172" s="222"/>
      <c r="L172" s="222"/>
    </row>
    <row r="173">
      <c r="A173" s="27"/>
      <c r="B173" s="27"/>
      <c r="C173" s="27"/>
      <c r="D173" s="244"/>
      <c r="E173" s="241"/>
      <c r="F173" s="222"/>
      <c r="G173" s="222"/>
      <c r="H173" s="246"/>
      <c r="I173" s="222"/>
      <c r="J173" s="222"/>
      <c r="K173" s="222"/>
      <c r="L173" s="222"/>
    </row>
    <row r="174">
      <c r="A174" s="27"/>
      <c r="B174" s="27"/>
      <c r="C174" s="27"/>
      <c r="D174" s="244"/>
      <c r="E174" s="241"/>
      <c r="F174" s="222"/>
      <c r="G174" s="222"/>
      <c r="H174" s="246"/>
      <c r="I174" s="222"/>
      <c r="J174" s="222"/>
      <c r="K174" s="222"/>
      <c r="L174" s="222"/>
    </row>
    <row r="175">
      <c r="A175" s="27"/>
      <c r="B175" s="27"/>
      <c r="C175" s="27"/>
      <c r="D175" s="244"/>
      <c r="E175" s="241"/>
      <c r="F175" s="222"/>
      <c r="G175" s="222"/>
      <c r="H175" s="246"/>
      <c r="I175" s="222"/>
      <c r="J175" s="222"/>
      <c r="K175" s="222"/>
      <c r="L175" s="222"/>
    </row>
    <row r="176">
      <c r="A176" s="27"/>
      <c r="B176" s="27"/>
      <c r="C176" s="27"/>
      <c r="D176" s="244"/>
      <c r="E176" s="241"/>
      <c r="F176" s="222"/>
      <c r="G176" s="222"/>
      <c r="H176" s="246"/>
      <c r="I176" s="222"/>
      <c r="J176" s="222"/>
      <c r="K176" s="222"/>
      <c r="L176" s="222"/>
    </row>
    <row r="177">
      <c r="A177" s="27"/>
      <c r="B177" s="27"/>
      <c r="C177" s="27"/>
      <c r="D177" s="244"/>
      <c r="E177" s="241"/>
      <c r="F177" s="222"/>
      <c r="G177" s="222"/>
      <c r="H177" s="246"/>
      <c r="I177" s="222"/>
      <c r="J177" s="222"/>
      <c r="K177" s="222"/>
      <c r="L177" s="222"/>
    </row>
    <row r="178">
      <c r="A178" s="27"/>
      <c r="B178" s="27"/>
      <c r="C178" s="27"/>
      <c r="D178" s="244"/>
      <c r="E178" s="241"/>
      <c r="F178" s="222"/>
      <c r="G178" s="222"/>
      <c r="H178" s="246"/>
      <c r="I178" s="222"/>
      <c r="J178" s="222"/>
      <c r="K178" s="222"/>
      <c r="L178" s="222"/>
    </row>
    <row r="179">
      <c r="A179" s="27"/>
      <c r="B179" s="27"/>
      <c r="C179" s="27"/>
      <c r="D179" s="244"/>
      <c r="E179" s="241"/>
      <c r="F179" s="222"/>
      <c r="G179" s="222"/>
      <c r="H179" s="246"/>
      <c r="I179" s="222"/>
      <c r="J179" s="222"/>
      <c r="K179" s="222"/>
      <c r="L179" s="222"/>
    </row>
    <row r="180">
      <c r="A180" s="27"/>
      <c r="B180" s="27"/>
      <c r="C180" s="27"/>
      <c r="D180" s="244"/>
      <c r="E180" s="241"/>
      <c r="F180" s="222"/>
      <c r="G180" s="222"/>
      <c r="H180" s="246"/>
      <c r="I180" s="222"/>
      <c r="J180" s="222"/>
      <c r="K180" s="222"/>
      <c r="L180" s="222"/>
    </row>
    <row r="181">
      <c r="A181" s="27"/>
      <c r="B181" s="27"/>
      <c r="C181" s="27"/>
      <c r="D181" s="244"/>
      <c r="E181" s="241"/>
      <c r="F181" s="222"/>
      <c r="G181" s="222"/>
      <c r="H181" s="246"/>
      <c r="I181" s="222"/>
      <c r="J181" s="222"/>
      <c r="K181" s="222"/>
      <c r="L181" s="222"/>
    </row>
    <row r="182">
      <c r="A182" s="27"/>
      <c r="B182" s="27"/>
      <c r="C182" s="27"/>
      <c r="D182" s="244"/>
      <c r="E182" s="241"/>
      <c r="F182" s="222"/>
      <c r="G182" s="222"/>
      <c r="H182" s="246"/>
      <c r="I182" s="222"/>
      <c r="J182" s="222"/>
      <c r="K182" s="222"/>
      <c r="L182" s="222"/>
    </row>
    <row r="183">
      <c r="A183" s="27"/>
      <c r="B183" s="27"/>
      <c r="C183" s="27"/>
      <c r="D183" s="244"/>
      <c r="E183" s="241"/>
      <c r="F183" s="222"/>
      <c r="G183" s="222"/>
      <c r="H183" s="246"/>
      <c r="I183" s="222"/>
      <c r="J183" s="222"/>
      <c r="K183" s="222"/>
      <c r="L183" s="222"/>
    </row>
    <row r="184">
      <c r="A184" s="27"/>
      <c r="B184" s="27"/>
      <c r="C184" s="27"/>
      <c r="D184" s="244"/>
      <c r="E184" s="241"/>
      <c r="F184" s="222"/>
      <c r="G184" s="222"/>
      <c r="H184" s="246"/>
      <c r="I184" s="222"/>
      <c r="J184" s="222"/>
      <c r="K184" s="222"/>
      <c r="L184" s="222"/>
    </row>
    <row r="185">
      <c r="A185" s="27"/>
      <c r="B185" s="27"/>
      <c r="C185" s="27"/>
      <c r="D185" s="244"/>
      <c r="E185" s="241"/>
      <c r="F185" s="222"/>
      <c r="G185" s="222"/>
      <c r="H185" s="246"/>
      <c r="I185" s="222"/>
      <c r="J185" s="222"/>
      <c r="K185" s="222"/>
      <c r="L185" s="222"/>
    </row>
    <row r="186">
      <c r="A186" s="27"/>
      <c r="B186" s="27"/>
      <c r="C186" s="27"/>
      <c r="D186" s="244"/>
      <c r="E186" s="241"/>
      <c r="F186" s="222"/>
      <c r="G186" s="222"/>
      <c r="H186" s="246"/>
      <c r="I186" s="222"/>
      <c r="J186" s="222"/>
      <c r="K186" s="222"/>
      <c r="L186" s="222"/>
    </row>
    <row r="187">
      <c r="A187" s="27"/>
      <c r="B187" s="27"/>
      <c r="C187" s="27"/>
      <c r="D187" s="244"/>
      <c r="E187" s="241"/>
      <c r="F187" s="222"/>
      <c r="G187" s="222"/>
      <c r="H187" s="246"/>
      <c r="I187" s="222"/>
      <c r="J187" s="222"/>
      <c r="K187" s="222"/>
      <c r="L187" s="222"/>
    </row>
    <row r="188">
      <c r="A188" s="27"/>
      <c r="B188" s="27"/>
      <c r="C188" s="27"/>
      <c r="D188" s="244"/>
      <c r="E188" s="241"/>
      <c r="F188" s="222"/>
      <c r="G188" s="222"/>
      <c r="H188" s="246"/>
      <c r="I188" s="222"/>
      <c r="J188" s="222"/>
      <c r="K188" s="222"/>
      <c r="L188" s="222"/>
    </row>
    <row r="189">
      <c r="A189" s="27"/>
      <c r="B189" s="27"/>
      <c r="C189" s="27"/>
      <c r="D189" s="244"/>
      <c r="E189" s="241"/>
      <c r="F189" s="222"/>
      <c r="G189" s="222"/>
      <c r="H189" s="246"/>
      <c r="I189" s="222"/>
      <c r="J189" s="222"/>
      <c r="K189" s="222"/>
      <c r="L189" s="222"/>
    </row>
    <row r="190">
      <c r="A190" s="27"/>
      <c r="B190" s="27"/>
      <c r="C190" s="27"/>
      <c r="D190" s="244"/>
      <c r="E190" s="241"/>
      <c r="F190" s="222"/>
      <c r="G190" s="222"/>
      <c r="H190" s="246"/>
      <c r="I190" s="222"/>
      <c r="J190" s="222"/>
      <c r="K190" s="222"/>
      <c r="L190" s="222"/>
    </row>
    <row r="191">
      <c r="A191" s="27"/>
      <c r="B191" s="27"/>
      <c r="C191" s="27"/>
      <c r="D191" s="244"/>
      <c r="E191" s="241"/>
      <c r="F191" s="222"/>
      <c r="G191" s="222"/>
      <c r="H191" s="246"/>
      <c r="I191" s="222"/>
      <c r="J191" s="222"/>
      <c r="K191" s="222"/>
      <c r="L191" s="222"/>
    </row>
    <row r="192">
      <c r="A192" s="27"/>
      <c r="B192" s="27"/>
      <c r="C192" s="27"/>
      <c r="D192" s="244"/>
      <c r="E192" s="241"/>
      <c r="F192" s="222"/>
      <c r="G192" s="222"/>
      <c r="H192" s="246"/>
      <c r="I192" s="222"/>
      <c r="J192" s="222"/>
      <c r="K192" s="222"/>
      <c r="L192" s="222"/>
    </row>
    <row r="193">
      <c r="A193" s="27"/>
      <c r="B193" s="27"/>
      <c r="C193" s="27"/>
      <c r="D193" s="244"/>
      <c r="E193" s="241"/>
      <c r="F193" s="222"/>
      <c r="G193" s="222"/>
      <c r="H193" s="246"/>
      <c r="I193" s="222"/>
      <c r="J193" s="222"/>
      <c r="K193" s="222"/>
      <c r="L193" s="222"/>
    </row>
    <row r="194">
      <c r="A194" s="27"/>
      <c r="B194" s="27"/>
      <c r="C194" s="27"/>
      <c r="D194" s="244"/>
      <c r="E194" s="241"/>
      <c r="F194" s="222"/>
      <c r="G194" s="222"/>
      <c r="H194" s="246"/>
      <c r="I194" s="222"/>
      <c r="J194" s="222"/>
      <c r="K194" s="222"/>
      <c r="L194" s="222"/>
    </row>
    <row r="195">
      <c r="A195" s="27"/>
      <c r="B195" s="27"/>
      <c r="C195" s="27"/>
      <c r="D195" s="244"/>
      <c r="E195" s="241"/>
      <c r="F195" s="222"/>
      <c r="G195" s="222"/>
      <c r="H195" s="246"/>
      <c r="I195" s="222"/>
      <c r="J195" s="222"/>
      <c r="K195" s="222"/>
      <c r="L195" s="222"/>
    </row>
    <row r="196">
      <c r="A196" s="27"/>
      <c r="B196" s="27"/>
      <c r="C196" s="27"/>
      <c r="D196" s="244"/>
      <c r="E196" s="241"/>
      <c r="F196" s="222"/>
      <c r="G196" s="222"/>
      <c r="H196" s="246"/>
      <c r="I196" s="222"/>
      <c r="J196" s="222"/>
      <c r="K196" s="222"/>
      <c r="L196" s="222"/>
    </row>
    <row r="197">
      <c r="A197" s="27"/>
      <c r="B197" s="27"/>
      <c r="C197" s="27"/>
      <c r="D197" s="244"/>
      <c r="E197" s="241"/>
      <c r="F197" s="222"/>
      <c r="G197" s="222"/>
      <c r="H197" s="246"/>
      <c r="I197" s="222"/>
      <c r="J197" s="222"/>
      <c r="K197" s="222"/>
      <c r="L197" s="222"/>
    </row>
    <row r="198">
      <c r="A198" s="27"/>
      <c r="B198" s="27"/>
      <c r="C198" s="27"/>
      <c r="D198" s="244"/>
      <c r="E198" s="241"/>
      <c r="F198" s="222"/>
      <c r="G198" s="222"/>
      <c r="H198" s="246"/>
      <c r="I198" s="222"/>
      <c r="J198" s="222"/>
      <c r="K198" s="222"/>
      <c r="L198" s="222"/>
    </row>
    <row r="199">
      <c r="A199" s="27"/>
      <c r="B199" s="27"/>
      <c r="C199" s="27"/>
      <c r="D199" s="244"/>
      <c r="E199" s="241"/>
      <c r="F199" s="222"/>
      <c r="G199" s="222"/>
      <c r="H199" s="246"/>
      <c r="I199" s="222"/>
      <c r="J199" s="222"/>
      <c r="K199" s="222"/>
      <c r="L199" s="222"/>
    </row>
    <row r="200">
      <c r="A200" s="27"/>
      <c r="B200" s="27"/>
      <c r="C200" s="27"/>
      <c r="D200" s="244"/>
      <c r="E200" s="241"/>
      <c r="F200" s="222"/>
      <c r="G200" s="222"/>
      <c r="H200" s="246"/>
      <c r="I200" s="222"/>
      <c r="J200" s="222"/>
      <c r="K200" s="222"/>
      <c r="L200" s="222"/>
    </row>
  </sheetData>
  <drawing r:id="rId1"/>
</worksheet>
</file>